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2604" documentId="11_0B1D56BE9CDCCE836B02CE7A5FB0D4A9BBFD1C62" xr6:coauthVersionLast="47" xr6:coauthVersionMax="47" xr10:uidLastSave="{B6EDBCF3-05CF-41F6-AF04-31F5A53E9CC6}"/>
  <bookViews>
    <workbookView xWindow="240" yWindow="105" windowWidth="14805" windowHeight="8010" firstSheet="7" activeTab="7" xr2:uid="{00000000-000D-0000-FFFF-FFFF00000000}"/>
  </bookViews>
  <sheets>
    <sheet name="Clientes" sheetId="2" r:id="rId1"/>
    <sheet name="Productos" sheetId="3" r:id="rId2"/>
    <sheet name="Proveedores" sheetId="6" r:id="rId3"/>
    <sheet name="Productos Defectuosos" sheetId="5" r:id="rId4"/>
    <sheet name="Inventario" sheetId="1" r:id="rId5"/>
    <sheet name="Productos Comprados" sheetId="4" r:id="rId6"/>
    <sheet name="Compras" sheetId="8" r:id="rId7"/>
    <sheet name="Ventas" sheetId="7" r:id="rId8"/>
    <sheet name="Debe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7" l="1"/>
  <c r="G103" i="7"/>
  <c r="F102" i="7"/>
  <c r="G102" i="7"/>
  <c r="F100" i="7"/>
  <c r="G100" i="7"/>
  <c r="F101" i="7"/>
  <c r="G101" i="7"/>
  <c r="F99" i="7"/>
  <c r="G99" i="7"/>
  <c r="F98" i="7"/>
  <c r="G98" i="7"/>
  <c r="F97" i="7"/>
  <c r="G97" i="7"/>
  <c r="F96" i="7"/>
  <c r="G96" i="7"/>
  <c r="F95" i="7"/>
  <c r="G95" i="7"/>
  <c r="F93" i="7"/>
  <c r="G93" i="7"/>
  <c r="F94" i="7"/>
  <c r="G94" i="7"/>
  <c r="F89" i="7"/>
  <c r="G89" i="7"/>
  <c r="F90" i="7"/>
  <c r="G90" i="7"/>
  <c r="F92" i="7"/>
  <c r="G92" i="7"/>
  <c r="F91" i="7"/>
  <c r="G91" i="7"/>
  <c r="F80" i="7"/>
  <c r="G80" i="7"/>
  <c r="F4" i="7"/>
  <c r="G4" i="7"/>
  <c r="F11" i="7"/>
  <c r="G11" i="7"/>
  <c r="F12" i="7"/>
  <c r="G12" i="7"/>
  <c r="F13" i="7"/>
  <c r="G13" i="7"/>
  <c r="F83" i="7"/>
  <c r="G83" i="7"/>
  <c r="F82" i="7"/>
  <c r="G82" i="7"/>
  <c r="F60" i="7"/>
  <c r="G60" i="7"/>
  <c r="F49" i="7"/>
  <c r="G49" i="7"/>
  <c r="F79" i="7"/>
  <c r="G79" i="7"/>
  <c r="F78" i="7"/>
  <c r="G78" i="7"/>
  <c r="F77" i="7"/>
  <c r="G77" i="7"/>
  <c r="F76" i="7"/>
  <c r="G76" i="7"/>
  <c r="F75" i="7"/>
  <c r="G75" i="7"/>
  <c r="F72" i="7"/>
  <c r="G72" i="7"/>
  <c r="F73" i="7"/>
  <c r="G73" i="7"/>
  <c r="F19" i="7"/>
  <c r="G19" i="7"/>
  <c r="F71" i="7"/>
  <c r="G71" i="7"/>
  <c r="F70" i="7"/>
  <c r="G70" i="7"/>
  <c r="F69" i="7"/>
  <c r="G69" i="7"/>
  <c r="F68" i="7"/>
  <c r="G68" i="7"/>
  <c r="F67" i="7"/>
  <c r="G67" i="7"/>
  <c r="F66" i="7"/>
  <c r="G66" i="7"/>
  <c r="F65" i="7"/>
  <c r="G65" i="7"/>
  <c r="F64" i="7"/>
  <c r="G64" i="7"/>
  <c r="F17" i="7"/>
  <c r="G17" i="7"/>
  <c r="F62" i="7"/>
  <c r="G62" i="7"/>
  <c r="F18" i="7"/>
  <c r="G18" i="7"/>
  <c r="F9" i="7"/>
  <c r="G9" i="7"/>
  <c r="F59" i="7"/>
  <c r="G59" i="7"/>
  <c r="F58" i="7"/>
  <c r="G58" i="7"/>
  <c r="F57" i="7"/>
  <c r="G57" i="7"/>
  <c r="F56" i="7"/>
  <c r="G56" i="7"/>
  <c r="F55" i="7"/>
  <c r="G55" i="7"/>
  <c r="F54" i="7"/>
  <c r="G54" i="7"/>
  <c r="E34" i="4"/>
  <c r="E33" i="4"/>
  <c r="E32" i="4"/>
  <c r="E31" i="4"/>
  <c r="E30" i="4"/>
  <c r="E29" i="4"/>
  <c r="F53" i="7"/>
  <c r="G53" i="7"/>
  <c r="F52" i="7"/>
  <c r="G52" i="7"/>
  <c r="F51" i="7"/>
  <c r="G51" i="7"/>
  <c r="F50" i="7"/>
  <c r="G50" i="7"/>
  <c r="F88" i="7"/>
  <c r="G88" i="7"/>
  <c r="E28" i="4"/>
  <c r="E27" i="4"/>
  <c r="E26" i="4"/>
  <c r="F48" i="7"/>
  <c r="G48" i="7"/>
  <c r="F47" i="7"/>
  <c r="G47" i="7"/>
  <c r="F46" i="7"/>
  <c r="G46" i="7"/>
  <c r="F45" i="7"/>
  <c r="G45" i="7"/>
  <c r="F44" i="7"/>
  <c r="G44" i="7"/>
  <c r="F43" i="7"/>
  <c r="G43" i="7"/>
  <c r="F42" i="7"/>
  <c r="G42" i="7"/>
  <c r="F41" i="7"/>
  <c r="G41" i="7"/>
  <c r="D17" i="1"/>
  <c r="D18" i="1"/>
  <c r="D19" i="1"/>
  <c r="D20" i="1"/>
  <c r="D21" i="1"/>
  <c r="D22" i="1"/>
  <c r="D23" i="1"/>
  <c r="D24" i="1"/>
  <c r="D25" i="1"/>
  <c r="F84" i="7"/>
  <c r="G84" i="7"/>
  <c r="F40" i="7"/>
  <c r="G40" i="7"/>
  <c r="G39" i="7"/>
  <c r="F39" i="7"/>
  <c r="E25" i="4"/>
  <c r="E24" i="4"/>
  <c r="E23" i="4"/>
  <c r="E22" i="4"/>
  <c r="E21" i="4"/>
  <c r="E20" i="4"/>
  <c r="E19" i="4"/>
  <c r="E18" i="4"/>
  <c r="E17" i="4"/>
  <c r="F37" i="7"/>
  <c r="G37" i="7"/>
  <c r="F36" i="7"/>
  <c r="G36" i="7"/>
  <c r="F35" i="7"/>
  <c r="G35" i="7"/>
  <c r="F74" i="7"/>
  <c r="G74" i="7"/>
  <c r="F32" i="7"/>
  <c r="G32" i="7"/>
  <c r="F33" i="7"/>
  <c r="G33" i="7"/>
  <c r="F31" i="7"/>
  <c r="G31" i="7"/>
  <c r="F30" i="7"/>
  <c r="G30" i="7"/>
  <c r="C4" i="8"/>
  <c r="F29" i="7"/>
  <c r="G29" i="7"/>
  <c r="F28" i="7"/>
  <c r="G28" i="7"/>
  <c r="F27" i="7"/>
  <c r="G27" i="7"/>
  <c r="F26" i="7"/>
  <c r="G26" i="7"/>
  <c r="F25" i="7"/>
  <c r="G25" i="7"/>
  <c r="F24" i="7"/>
  <c r="G24" i="7"/>
  <c r="F23" i="7"/>
  <c r="G23" i="7"/>
  <c r="F22" i="7"/>
  <c r="G22" i="7"/>
  <c r="F21" i="7"/>
  <c r="G21" i="7"/>
  <c r="F20" i="7"/>
  <c r="G20" i="7"/>
  <c r="F81" i="7"/>
  <c r="G81" i="7"/>
  <c r="F38" i="7"/>
  <c r="G38" i="7"/>
  <c r="F63" i="7"/>
  <c r="G63" i="7"/>
  <c r="F16" i="7"/>
  <c r="G16" i="7"/>
  <c r="F15" i="7"/>
  <c r="G15" i="7"/>
  <c r="F14" i="7"/>
  <c r="G14" i="7"/>
  <c r="F87" i="7"/>
  <c r="G87" i="7"/>
  <c r="F61" i="7"/>
  <c r="G61" i="7"/>
  <c r="F85" i="7"/>
  <c r="G85" i="7"/>
  <c r="D11" i="1"/>
  <c r="D12" i="1"/>
  <c r="D13" i="1"/>
  <c r="D14" i="1"/>
  <c r="D15" i="1"/>
  <c r="D16" i="1"/>
  <c r="E16" i="4"/>
  <c r="E15" i="4"/>
  <c r="E14" i="4"/>
  <c r="E13" i="4"/>
  <c r="E12" i="4"/>
  <c r="E11" i="4"/>
  <c r="D2" i="1"/>
  <c r="D3" i="1"/>
  <c r="D4" i="1"/>
  <c r="D5" i="1"/>
  <c r="D6" i="1"/>
  <c r="D7" i="1"/>
  <c r="D8" i="1"/>
  <c r="D9" i="1"/>
  <c r="D10" i="1"/>
  <c r="G10" i="7"/>
  <c r="F10" i="7"/>
  <c r="E9" i="4"/>
  <c r="E10" i="4"/>
  <c r="E8" i="4"/>
  <c r="E7" i="4"/>
  <c r="E3" i="4"/>
  <c r="E4" i="4"/>
  <c r="E5" i="4"/>
  <c r="E6" i="4"/>
  <c r="E2" i="4"/>
  <c r="F86" i="7"/>
  <c r="G86" i="7"/>
  <c r="F8" i="7"/>
  <c r="G8" i="7"/>
  <c r="F7" i="7"/>
  <c r="G7" i="7"/>
  <c r="F2" i="7"/>
  <c r="G2" i="7"/>
  <c r="F6" i="7"/>
  <c r="G6" i="7"/>
  <c r="F34" i="7"/>
  <c r="G34" i="7"/>
  <c r="F5" i="7"/>
  <c r="G5" i="7"/>
  <c r="K2" i="7"/>
  <c r="F3" i="7"/>
  <c r="J2" i="7"/>
  <c r="G3" i="7"/>
  <c r="L2" i="7"/>
  <c r="D27" i="9"/>
</calcChain>
</file>

<file path=xl/sharedStrings.xml><?xml version="1.0" encoding="utf-8"?>
<sst xmlns="http://schemas.openxmlformats.org/spreadsheetml/2006/main" count="462" uniqueCount="243">
  <si>
    <t>Nombre</t>
  </si>
  <si>
    <t>Celular</t>
  </si>
  <si>
    <t>Debe</t>
  </si>
  <si>
    <t xml:space="preserve">Ander </t>
  </si>
  <si>
    <t xml:space="preserve">Nico </t>
  </si>
  <si>
    <t xml:space="preserve">Juandi Marin </t>
  </si>
  <si>
    <t xml:space="preserve">Pampara </t>
  </si>
  <si>
    <t xml:space="preserve">Ander Veracruz </t>
  </si>
  <si>
    <t xml:space="preserve">Nano </t>
  </si>
  <si>
    <t xml:space="preserve">Samuel </t>
  </si>
  <si>
    <t>Jero Arbeláez</t>
  </si>
  <si>
    <t xml:space="preserve">Alejo Solarte </t>
  </si>
  <si>
    <t xml:space="preserve">Ruso </t>
  </si>
  <si>
    <t xml:space="preserve">Joan Boxeador </t>
  </si>
  <si>
    <t xml:space="preserve">Jhon Cuchilla </t>
  </si>
  <si>
    <t xml:space="preserve">Federico </t>
  </si>
  <si>
    <t xml:space="preserve">Tomas Parr </t>
  </si>
  <si>
    <t xml:space="preserve">Yanka </t>
  </si>
  <si>
    <t xml:space="preserve">Pablo </t>
  </si>
  <si>
    <t xml:space="preserve">Sebas Picado </t>
  </si>
  <si>
    <t xml:space="preserve">Sara </t>
  </si>
  <si>
    <t xml:space="preserve">Juan Botero </t>
  </si>
  <si>
    <t xml:space="preserve">Andrés Café  </t>
  </si>
  <si>
    <t>Andresito</t>
  </si>
  <si>
    <t xml:space="preserve">Daniel vecino </t>
  </si>
  <si>
    <t xml:space="preserve">Xavier </t>
  </si>
  <si>
    <t>Bray Vecino</t>
  </si>
  <si>
    <t xml:space="preserve">Híbrido </t>
  </si>
  <si>
    <t>Diego Unitrans</t>
  </si>
  <si>
    <t xml:space="preserve">Michael Amigo Loco </t>
  </si>
  <si>
    <t xml:space="preserve">Esteban Cordoba </t>
  </si>
  <si>
    <t xml:space="preserve">Flecher </t>
  </si>
  <si>
    <t xml:space="preserve">Geraldine Segura </t>
  </si>
  <si>
    <t xml:space="preserve">Juan Gonzales </t>
  </si>
  <si>
    <t xml:space="preserve">Uriel </t>
  </si>
  <si>
    <t>Jenny Curva</t>
  </si>
  <si>
    <t xml:space="preserve">Gringo </t>
  </si>
  <si>
    <t xml:space="preserve">Loco </t>
  </si>
  <si>
    <t>Nano</t>
  </si>
  <si>
    <t>Ruso</t>
  </si>
  <si>
    <t>Novio Sofia</t>
  </si>
  <si>
    <t>Santi Arias</t>
  </si>
  <si>
    <t xml:space="preserve">Santi Perez </t>
  </si>
  <si>
    <t>Tomas Parr</t>
  </si>
  <si>
    <t xml:space="preserve">Vivi </t>
  </si>
  <si>
    <t>Esteban Cordoba</t>
  </si>
  <si>
    <t>Pipe Morales</t>
  </si>
  <si>
    <t>Dario Linda</t>
  </si>
  <si>
    <t>Nico</t>
  </si>
  <si>
    <t>Tilin</t>
  </si>
  <si>
    <t>Sebastian Guzman</t>
  </si>
  <si>
    <t>Melchor</t>
  </si>
  <si>
    <t>Jhonatan Legon</t>
  </si>
  <si>
    <t>Andres Stiven</t>
  </si>
  <si>
    <t>Dairo</t>
  </si>
  <si>
    <t>Emmanuel</t>
  </si>
  <si>
    <t>Leandro</t>
  </si>
  <si>
    <t>Junior</t>
  </si>
  <si>
    <t>Pipe Verruga</t>
  </si>
  <si>
    <t>Producto</t>
  </si>
  <si>
    <t>Bandeja</t>
  </si>
  <si>
    <t>Batería Destilado Manopla</t>
  </si>
  <si>
    <t>Batería Discreta Destilado</t>
  </si>
  <si>
    <t>Blunt Nomad X2</t>
  </si>
  <si>
    <t>Blunt Warp X2 Good Times</t>
  </si>
  <si>
    <t xml:space="preserve">Blunt Warp X2 Mojito </t>
  </si>
  <si>
    <t>Blunt Warp X3 Mojito</t>
  </si>
  <si>
    <t>Bolsa pequeña resellable Alien</t>
  </si>
  <si>
    <t>Bong de goma AK-47</t>
  </si>
  <si>
    <t>Capsula con Miel HHC</t>
  </si>
  <si>
    <t>Capsula con Miel Thc-o</t>
  </si>
  <si>
    <t>Capsula destilado vacía</t>
  </si>
  <si>
    <t>CD Circulo Vicioso</t>
  </si>
  <si>
    <t>Destilado Cookies 2.5ML</t>
  </si>
  <si>
    <t>Destilado desechable Planet 51</t>
  </si>
  <si>
    <t>Filtros de sabores Mod Pod</t>
  </si>
  <si>
    <t>Flamingo azul x50</t>
  </si>
  <si>
    <t>Miel HHC</t>
  </si>
  <si>
    <t>Miel Thc-O</t>
  </si>
  <si>
    <t>Miel Thc-O + HHC</t>
  </si>
  <si>
    <t>OCB Cáñamo Orgánico 1/4</t>
  </si>
  <si>
    <t>OCB Ultra Fino</t>
  </si>
  <si>
    <t>Pala Cuchara</t>
  </si>
  <si>
    <t>Pipa Boquilla P</t>
  </si>
  <si>
    <t>Pipa Goma</t>
  </si>
  <si>
    <t>Porta Cadela</t>
  </si>
  <si>
    <t>Rascador 4 Pisos</t>
  </si>
  <si>
    <t>Rascador automático</t>
  </si>
  <si>
    <t>Soplete Floppi Mediano</t>
  </si>
  <si>
    <t>Vaper 6ix9ine</t>
  </si>
  <si>
    <t>Vaper Anuel</t>
  </si>
  <si>
    <t>Vaper Baton GO</t>
  </si>
  <si>
    <t>Vaper Desechable Abood 5000PUFF</t>
  </si>
  <si>
    <t>Vaper Desechable Cheevape 6000PUFF</t>
  </si>
  <si>
    <t>Vaper Desechable Toha 10000PUFF</t>
  </si>
  <si>
    <t>Vaper Matrix</t>
  </si>
  <si>
    <t>Vaper Novo</t>
  </si>
  <si>
    <t>Vaper Q</t>
  </si>
  <si>
    <t>Vaper REBEL PRO 5000PUFF</t>
  </si>
  <si>
    <t>Vick Inhalador</t>
  </si>
  <si>
    <t>Vaper AirFuze</t>
  </si>
  <si>
    <t>URL</t>
  </si>
  <si>
    <t>Etiquetas</t>
  </si>
  <si>
    <t>Paradise Smoking Grow Shop</t>
  </si>
  <si>
    <t>paradisesmokingshop.com.co</t>
  </si>
  <si>
    <t>Aleko</t>
  </si>
  <si>
    <t>aleko.com.co</t>
  </si>
  <si>
    <t>Jeison Destilados</t>
  </si>
  <si>
    <t>Merch Granuja</t>
  </si>
  <si>
    <t>granuja.co</t>
  </si>
  <si>
    <t>Hyde Vapers</t>
  </si>
  <si>
    <t>Vapers Samuel</t>
  </si>
  <si>
    <t>Tiendavape Colombia</t>
  </si>
  <si>
    <t>Los Petetes</t>
  </si>
  <si>
    <t>Compra</t>
  </si>
  <si>
    <t>Cantidad defectuosa</t>
  </si>
  <si>
    <t>Valor c/u</t>
  </si>
  <si>
    <t>Valor total</t>
  </si>
  <si>
    <t xml:space="preserve">Compra #5 </t>
  </si>
  <si>
    <t xml:space="preserve">Vaper REBEL PRO 5000PUFF </t>
  </si>
  <si>
    <t xml:space="preserve">Compra #2 </t>
  </si>
  <si>
    <t xml:space="preserve">Vaper Desechable Cheevape 6000PUFF </t>
  </si>
  <si>
    <t>🍱 Producto</t>
  </si>
  <si>
    <t>Cantidad</t>
  </si>
  <si>
    <t>Valor de venta c/u</t>
  </si>
  <si>
    <t>Valor total de venta</t>
  </si>
  <si>
    <t>Vaper Snoopy x 15000</t>
  </si>
  <si>
    <t>Vaper Movement x18000</t>
  </si>
  <si>
    <t>Vaper Lost Mary x5000</t>
  </si>
  <si>
    <t>Vaper Spaceman x18000</t>
  </si>
  <si>
    <t>Vaper Matrix x12000</t>
  </si>
  <si>
    <t>Vaper MintTopia x9000</t>
  </si>
  <si>
    <t>Pipa de Vidro Encauchetada Grande</t>
  </si>
  <si>
    <t>Pipa de Vidro Encauchetada Pequeña</t>
  </si>
  <si>
    <t>Hemp Warp</t>
  </si>
  <si>
    <t>Bandeja pequeña</t>
  </si>
  <si>
    <t>Calcomanías pequeñas</t>
  </si>
  <si>
    <t xml:space="preserve">Palas </t>
  </si>
  <si>
    <t>Gafas tipo Cartier</t>
  </si>
  <si>
    <t>Cueros Nicon</t>
  </si>
  <si>
    <t>Filtros Rolling Circus</t>
  </si>
  <si>
    <t>Grinder 1 Piso</t>
  </si>
  <si>
    <t>Grinder 2 Pisos</t>
  </si>
  <si>
    <t>Grinder pequeña 3 pisos</t>
  </si>
  <si>
    <t>Grinder Metálicas Grande</t>
  </si>
  <si>
    <t>Pipa Popelle</t>
  </si>
  <si>
    <t>Pipa Vidrio Pequeña</t>
  </si>
  <si>
    <t>Pipa Vidrio Encauchetada Grande</t>
  </si>
  <si>
    <t>Pipa Completamente de Vidrio</t>
  </si>
  <si>
    <t>Cantidad comprada</t>
  </si>
  <si>
    <t xml:space="preserve">Compra #1 </t>
  </si>
  <si>
    <t>Compra #2</t>
  </si>
  <si>
    <t>Compra #3</t>
  </si>
  <si>
    <t>Compra #4</t>
  </si>
  <si>
    <t>Compra #5</t>
  </si>
  <si>
    <t>Vaper AriFuze</t>
  </si>
  <si>
    <t>Palas Color Antigüo</t>
  </si>
  <si>
    <t>Palas Color</t>
  </si>
  <si>
    <t>Compra #</t>
  </si>
  <si>
    <t>Proveedor</t>
  </si>
  <si>
    <t>Valor</t>
  </si>
  <si>
    <t>Fecha de pedido</t>
  </si>
  <si>
    <t>Fecha de llegada</t>
  </si>
  <si>
    <t>Descripción</t>
  </si>
  <si>
    <t>Comentarios</t>
  </si>
  <si>
    <t>Factura</t>
  </si>
  <si>
    <t>Temu</t>
  </si>
  <si>
    <t>Compra #1</t>
  </si>
  <si>
    <t>🍱 Productos</t>
  </si>
  <si>
    <t>Cliente</t>
  </si>
  <si>
    <t>Cantidad vendida</t>
  </si>
  <si>
    <t>Valor pagado</t>
  </si>
  <si>
    <t>Valor de venta</t>
  </si>
  <si>
    <t>Vendido</t>
  </si>
  <si>
    <t>En la cuenta</t>
  </si>
  <si>
    <t>Deben</t>
  </si>
  <si>
    <t xml:space="preserve">Tabaco X2 Good Times </t>
  </si>
  <si>
    <t>Travis</t>
  </si>
  <si>
    <t>Cueros</t>
  </si>
  <si>
    <t>Breiner</t>
  </si>
  <si>
    <t>Cueros OCB</t>
  </si>
  <si>
    <t>Andres Cafe</t>
  </si>
  <si>
    <t>Daniel Dah</t>
  </si>
  <si>
    <t>Vaper Orion</t>
  </si>
  <si>
    <t>Alejo Solarte</t>
  </si>
  <si>
    <t>Vaper Snoopy</t>
  </si>
  <si>
    <t>Chamo</t>
  </si>
  <si>
    <t>Pipa grande</t>
  </si>
  <si>
    <t>Filtros</t>
  </si>
  <si>
    <t>Pala</t>
  </si>
  <si>
    <t>Calcomanías</t>
  </si>
  <si>
    <t>Tomy</t>
  </si>
  <si>
    <t>Cueros Nicon (Unidad)</t>
  </si>
  <si>
    <t>Loco</t>
  </si>
  <si>
    <t>Grinder Metálica Grande</t>
  </si>
  <si>
    <t>Jorge</t>
  </si>
  <si>
    <t>Camilo Cuchilla</t>
  </si>
  <si>
    <t>Juandi Cuchilla</t>
  </si>
  <si>
    <t>Santy Mora</t>
  </si>
  <si>
    <t>Alejandro Matilde</t>
  </si>
  <si>
    <t>Vaper Spaceman</t>
  </si>
  <si>
    <t>Pipa pequeña</t>
  </si>
  <si>
    <t>Paisa</t>
  </si>
  <si>
    <t>Blunt HonneyPuff</t>
  </si>
  <si>
    <t>Híbrido</t>
  </si>
  <si>
    <t>Ingreso Jorge</t>
  </si>
  <si>
    <t>Dani Menor</t>
  </si>
  <si>
    <t>Ander Veracruz</t>
  </si>
  <si>
    <t>Vaper Hyde</t>
  </si>
  <si>
    <t>Costeño</t>
  </si>
  <si>
    <t>Vaper Movement</t>
  </si>
  <si>
    <t>Chonchi</t>
  </si>
  <si>
    <t>Yanka</t>
  </si>
  <si>
    <t>Tía Vivi</t>
  </si>
  <si>
    <t>Primo Loco</t>
  </si>
  <si>
    <t>Camilo Unitrans</t>
  </si>
  <si>
    <t>Pipa Popeye</t>
  </si>
  <si>
    <t>Sebas Picado</t>
  </si>
  <si>
    <t>Samuel Veracruz</t>
  </si>
  <si>
    <t>Jonny</t>
  </si>
  <si>
    <t>CS</t>
  </si>
  <si>
    <t xml:space="preserve">Osman </t>
  </si>
  <si>
    <t>Grinder 2 pisos</t>
  </si>
  <si>
    <t>Luis Esquina</t>
  </si>
  <si>
    <t>Jarol</t>
  </si>
  <si>
    <t>Alejo Universidad</t>
  </si>
  <si>
    <t>#Compra</t>
  </si>
  <si>
    <t>Pipa de vidrio con boquilla metálica</t>
  </si>
  <si>
    <t>Vaper Mintopia</t>
  </si>
  <si>
    <t>Juan Sacatin</t>
  </si>
  <si>
    <t>Picoro e Híbrido</t>
  </si>
  <si>
    <t>Canizales</t>
  </si>
  <si>
    <t>Jacobo Morichal</t>
  </si>
  <si>
    <t>Sergio Villa</t>
  </si>
  <si>
    <t>Sombra</t>
  </si>
  <si>
    <t>Titi Primo Híbrido</t>
  </si>
  <si>
    <t>Sergio Universidad</t>
  </si>
  <si>
    <t>Picoro</t>
  </si>
  <si>
    <t>Jero</t>
  </si>
  <si>
    <t>Camiseta</t>
  </si>
  <si>
    <t>Vaper Myntopia</t>
  </si>
  <si>
    <t>Diana Prima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</si>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</sst>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240A]\ * #,##0_-;\-[$$-240A]\ * #,##0_-;_-[$$-240A]\ * &quot;-&quot;_-;_-@_-"/>
    <numFmt numFmtId="165" formatCode="[$$-240A]\ #,##0"/>
    <numFmt numFmtId="166" formatCode="_-[$$-240A]\ * #,##0.00_-;\-[$$-240A]\ * #,##0.00_-;_-[$$-240A]\ * &quot;-&quot;??_-;_-@_-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sz val="11"/>
      <color theme="1"/>
      <name val="Aptos Narrow"/>
    </font>
    <font>
      <b/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0" fontId="3" fillId="3" borderId="0" xfId="0" applyFont="1" applyFill="1"/>
    <xf numFmtId="0" fontId="3" fillId="4" borderId="0" xfId="0" applyFont="1" applyFill="1"/>
    <xf numFmtId="0" fontId="0" fillId="0" borderId="2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left" vertical="top"/>
    </xf>
    <xf numFmtId="0" fontId="0" fillId="0" borderId="8" xfId="0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165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5" borderId="10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11" xfId="0" applyFill="1" applyBorder="1"/>
    <xf numFmtId="0" fontId="0" fillId="6" borderId="10" xfId="0" applyFill="1" applyBorder="1"/>
  </cellXfs>
  <cellStyles count="1">
    <cellStyle name="Normal" xfId="0" builtinId="0"/>
  </cellStyles>
  <dxfs count="33">
    <dxf>
      <fill>
        <patternFill patternType="solid">
          <fgColor rgb="FFF8696B"/>
          <bgColor indexed="65"/>
        </patternFill>
      </fill>
    </dxf>
    <dxf>
      <font>
        <name val="Aptos Narrow"/>
      </font>
    </dxf>
    <dxf>
      <font>
        <name val="Aptos Narrow"/>
      </font>
      <numFmt numFmtId="165" formatCode="[$$-240A]\ #,##0"/>
    </dxf>
    <dxf>
      <numFmt numFmtId="165" formatCode="[$$-240A]\ #,##0"/>
    </dxf>
    <dxf>
      <font>
        <name val="Aptos Narrow"/>
      </font>
      <numFmt numFmtId="164" formatCode="_-[$$-240A]\ * #,##0_-;\-[$$-240A]\ * #,##0_-;_-[$$-240A]\ * &quot;-&quot;_-;_-@_-"/>
    </dxf>
    <dxf>
      <numFmt numFmtId="164" formatCode="_-[$$-240A]\ * #,##0_-;\-[$$-240A]\ * #,##0_-;_-[$$-240A]\ * &quot;-&quot;_-;_-@_-"/>
    </dxf>
    <dxf>
      <font>
        <name val="Aptos Narrow"/>
      </font>
      <numFmt numFmtId="164" formatCode="_-[$$-240A]\ * #,##0_-;\-[$$-240A]\ * #,##0_-;_-[$$-240A]\ * &quot;-&quot;_-;_-@_-"/>
    </dxf>
    <dxf>
      <numFmt numFmtId="164" formatCode="_-[$$-240A]\ * #,##0_-;\-[$$-240A]\ * #,##0_-;_-[$$-240A]\ * &quot;-&quot;_-;_-@_-"/>
    </dxf>
    <dxf>
      <font>
        <name val="Aptos Narrow"/>
      </font>
      <numFmt numFmtId="164" formatCode="_-[$$-240A]\ * #,##0_-;\-[$$-240A]\ * #,##0_-;_-[$$-240A]\ * &quot;-&quot;_-;_-@_-"/>
    </dxf>
    <dxf>
      <numFmt numFmtId="164" formatCode="_-[$$-240A]\ * #,##0_-;\-[$$-240A]\ * #,##0_-;_-[$$-240A]\ * &quot;-&quot;_-;_-@_-"/>
    </dxf>
    <dxf>
      <font>
        <name val="Aptos Narrow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_-[$$-240A]\ * #,##0_-;\-[$$-240A]\ * #,##0_-;_-[$$-240A]\ * &quot;-&quot;_-;_-@_-"/>
    </dxf>
    <dxf>
      <numFmt numFmtId="164" formatCode="_-[$$-240A]\ * #,##0_-;\-[$$-240A]\ * #,##0_-;_-[$$-240A]\ * &quot;-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_-[$$-240A]\ * #,##0_-;\-[$$-240A]\ * #,##0_-;_-[$$-240A]\ * &quot;-&quot;_-;_-@_-"/>
      <alignment horizontal="center" vertical="bottom" textRotation="0" wrapText="0" indent="0" justifyLastLine="0" shrinkToFit="0" readingOrder="0"/>
    </dxf>
    <dxf>
      <numFmt numFmtId="164" formatCode="_-[$$-240A]\ * #,##0_-;\-[$$-240A]\ * #,##0_-;_-[$$-240A]\ * &quot;-&quot;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2791C4-E058-4EEC-839C-E08AAB15DFDF}" name="Table4" displayName="Table4" ref="A1:D25" totalsRowShown="0" headerRowDxfId="32">
  <autoFilter ref="A1:D25" xr:uid="{752791C4-E058-4EEC-839C-E08AAB15DFDF}"/>
  <tableColumns count="4">
    <tableColumn id="1" xr3:uid="{ABD6E7C8-0DEF-42DE-B34B-2F42C497049C}" name="🍱 Producto" dataDxfId="31"/>
    <tableColumn id="2" xr3:uid="{1108218A-4790-41DC-853D-2B09C3EB4CA1}" name="Cantidad"/>
    <tableColumn id="3" xr3:uid="{CC0B8BF4-0716-456D-AA08-16AE7904D6DB}" name="Valor de venta c/u" dataDxfId="30"/>
    <tableColumn id="4" xr3:uid="{0602E436-8A3D-45E5-977A-31F0FC56BC5A}" name="Valor total de venta" dataDxfId="29">
      <calculatedColumnFormula>Table4[[#This Row],[Cantidad]]*Table4[[#This Row],[Valor de venta c/u]]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7A53DC-58B4-4CCB-BD81-32BF192D53C1}" name="Table3" displayName="Table3" ref="A1:E34" totalsRowShown="0" headerRowDxfId="28">
  <autoFilter ref="A1:E34" xr:uid="{6B7A53DC-58B4-4CCB-BD81-32BF192D53C1}"/>
  <tableColumns count="5">
    <tableColumn id="1" xr3:uid="{090EB958-3407-4414-9F81-E50056ACC397}" name="Compra"/>
    <tableColumn id="2" xr3:uid="{8E5A7E07-D1B2-4E3C-952E-72573FC469AB}" name="Producto"/>
    <tableColumn id="3" xr3:uid="{0BBA4DAD-4D0A-4CE1-B165-2C8563345046}" name="Cantidad comprada" dataDxfId="26" totalsRowDxfId="27"/>
    <tableColumn id="4" xr3:uid="{6B4F0E6F-632D-4EB7-A0C4-49230F1BE634}" name="Valor c/u" dataDxfId="24" totalsRowDxfId="25"/>
    <tableColumn id="5" xr3:uid="{38C99819-3614-4B6B-984D-866A1CC72803}" name="Valor total" dataDxfId="22" totalsRowDxfId="23">
      <calculatedColumnFormula>D2*C2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883CCD-FF4C-4226-836F-6BB452FE65ED}" name="Table1" displayName="Table1" ref="A1:H4" totalsRowCount="1">
  <autoFilter ref="A1:H3" xr:uid="{0E883CCD-FF4C-4226-836F-6BB452FE65ED}"/>
  <tableColumns count="8">
    <tableColumn id="1" xr3:uid="{CC25ABE1-8928-4B69-8A39-CE2B57E40AF1}" name="Compra #"/>
    <tableColumn id="2" xr3:uid="{D4EF1846-21DC-4CB5-9FE1-FDFC5C12BB05}" name="Proveedor"/>
    <tableColumn id="5" xr3:uid="{030CB8BB-F9E6-472E-B5C6-15A9B0AE4513}" name="Valor" totalsRowFunction="custom" dataDxfId="20" totalsRowDxfId="21">
      <totalsRowFormula>SUM(Table1[Valor])</totalsRowFormula>
    </tableColumn>
    <tableColumn id="3" xr3:uid="{F1DBE9A7-1DE0-455D-8539-5C601AA5AA82}" name="Fecha de pedido" dataDxfId="18" totalsRowDxfId="19"/>
    <tableColumn id="4" xr3:uid="{0EC54D26-2FAD-4BA4-BDB2-B11CDD3464A0}" name="Fecha de llegada" dataDxfId="16" totalsRowDxfId="17"/>
    <tableColumn id="6" xr3:uid="{A113BD1F-BE7A-40E0-BD4D-C82D361DA8E2}" name="Descripción"/>
    <tableColumn id="7" xr3:uid="{60CBB92F-EF36-4A44-8D18-FD8ADD57B721}" name="Comentarios"/>
    <tableColumn id="9" xr3:uid="{5EE57B85-2049-4CC2-B9DF-2CB1CC84D662}" name="Factura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75116-E6BE-4D29-9565-C464FDE0F0F2}" name="Table2" displayName="Table2" ref="A1:H103" totalsRowShown="0" headerRowDxfId="15" dataDxfId="14">
  <autoFilter ref="A1:H103" xr:uid="{CE275116-E6BE-4D29-9565-C464FDE0F0F2}"/>
  <sortState xmlns:xlrd2="http://schemas.microsoft.com/office/spreadsheetml/2017/richdata2" ref="A2:H94">
    <sortCondition ref="B1:B94"/>
  </sortState>
  <tableColumns count="8">
    <tableColumn id="1" xr3:uid="{875E4CA4-3A08-42F9-9482-4520E4B8139A}" name="🍱 Productos" dataDxfId="13"/>
    <tableColumn id="3" xr3:uid="{56805ACC-3ED2-44A7-9544-56AC7E35B8C7}" name="Cliente" dataDxfId="12"/>
    <tableColumn id="2" xr3:uid="{436B6BD2-6486-482A-8686-27CB36D38C0D}" name="Cantidad vendida" dataDxfId="10" totalsRowDxfId="11"/>
    <tableColumn id="4" xr3:uid="{5A84733E-F58F-4FC9-BF2B-FFF8680377B4}" name="Valor pagado" dataDxfId="8" totalsRowDxfId="9"/>
    <tableColumn id="5" xr3:uid="{5E2ADEAD-7478-4CF3-B60B-189965F8BAF2}" name="Valor de venta" dataDxfId="6" totalsRowDxfId="7"/>
    <tableColumn id="6" xr3:uid="{9FD4DD28-7080-4A6A-AFE6-1431B1FF4ADE}" name="Valor total" dataDxfId="4" totalsRowDxfId="5">
      <calculatedColumnFormula>Table2[[#This Row],[Valor de venta]]*Table2[[#This Row],[Cantidad vendida]]</calculatedColumnFormula>
    </tableColumn>
    <tableColumn id="7" xr3:uid="{C681C901-D533-400E-89C9-88A00CF6593D}" name="Debe" dataDxfId="2" totalsRowDxfId="3">
      <calculatedColumnFormula>IF(Table2[[#This Row],[Valor pagado]]&lt;0, 0, Table2[[#This Row],[Valor total]]-Table2[[#This Row],[Valor pagado]])</calculatedColumnFormula>
    </tableColumn>
    <tableColumn id="8" xr3:uid="{BDB5439B-C9F1-4933-A475-5E5297CB3F79}" name="Comentarios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8E86-23F6-4D61-A309-349F233BAB4A}">
  <dimension ref="A1:C58"/>
  <sheetViews>
    <sheetView workbookViewId="0">
      <selection activeCell="A9" sqref="A9"/>
    </sheetView>
  </sheetViews>
  <sheetFormatPr defaultRowHeight="15"/>
  <cols>
    <col min="1" max="1" width="18.42578125" bestFit="1" customWidth="1"/>
  </cols>
  <sheetData>
    <row r="1" spans="1:3">
      <c r="A1" s="6" t="s">
        <v>0</v>
      </c>
      <c r="B1" s="2" t="s">
        <v>1</v>
      </c>
      <c r="C1" s="2" t="s">
        <v>2</v>
      </c>
    </row>
    <row r="2" spans="1:3">
      <c r="A2" s="7" t="s">
        <v>3</v>
      </c>
    </row>
    <row r="3" spans="1:3">
      <c r="A3" s="8" t="s">
        <v>4</v>
      </c>
    </row>
    <row r="4" spans="1:3">
      <c r="A4" s="7" t="s">
        <v>5</v>
      </c>
    </row>
    <row r="5" spans="1:3">
      <c r="A5" s="8" t="s">
        <v>6</v>
      </c>
    </row>
    <row r="6" spans="1:3">
      <c r="A6" s="7" t="s">
        <v>7</v>
      </c>
    </row>
    <row r="7" spans="1:3">
      <c r="A7" s="8" t="s">
        <v>8</v>
      </c>
    </row>
    <row r="8" spans="1:3">
      <c r="A8" s="8" t="s">
        <v>9</v>
      </c>
    </row>
    <row r="9" spans="1:3">
      <c r="A9" s="7" t="s">
        <v>10</v>
      </c>
    </row>
    <row r="10" spans="1:3">
      <c r="A10" s="8"/>
    </row>
    <row r="11" spans="1:3">
      <c r="A11" s="8" t="s">
        <v>11</v>
      </c>
    </row>
    <row r="12" spans="1:3">
      <c r="A12" s="7" t="s">
        <v>12</v>
      </c>
    </row>
    <row r="13" spans="1:3">
      <c r="A13" s="8" t="s">
        <v>13</v>
      </c>
    </row>
    <row r="14" spans="1:3">
      <c r="A14" s="7" t="s">
        <v>14</v>
      </c>
    </row>
    <row r="15" spans="1:3">
      <c r="A15" s="8" t="s">
        <v>15</v>
      </c>
    </row>
    <row r="16" spans="1:3">
      <c r="A16" s="8" t="s">
        <v>16</v>
      </c>
    </row>
    <row r="17" spans="1:1">
      <c r="A17" s="7" t="s">
        <v>17</v>
      </c>
    </row>
    <row r="18" spans="1:1">
      <c r="A18" s="7" t="s">
        <v>18</v>
      </c>
    </row>
    <row r="19" spans="1:1">
      <c r="A19" s="8" t="s">
        <v>19</v>
      </c>
    </row>
    <row r="20" spans="1:1">
      <c r="A20" s="8" t="s">
        <v>20</v>
      </c>
    </row>
    <row r="21" spans="1:1">
      <c r="A21" s="7" t="s">
        <v>21</v>
      </c>
    </row>
    <row r="22" spans="1:1">
      <c r="A22" s="7" t="s">
        <v>22</v>
      </c>
    </row>
    <row r="23" spans="1:1">
      <c r="A23" s="8" t="s">
        <v>23</v>
      </c>
    </row>
    <row r="24" spans="1:1">
      <c r="A24" s="7" t="s">
        <v>24</v>
      </c>
    </row>
    <row r="25" spans="1:1">
      <c r="A25" s="7" t="s">
        <v>25</v>
      </c>
    </row>
    <row r="26" spans="1:1">
      <c r="A26" s="8" t="s">
        <v>26</v>
      </c>
    </row>
    <row r="27" spans="1:1">
      <c r="A27" s="8" t="s">
        <v>27</v>
      </c>
    </row>
    <row r="28" spans="1:1">
      <c r="A28" s="8" t="s">
        <v>28</v>
      </c>
    </row>
    <row r="29" spans="1:1">
      <c r="A29" s="8" t="s">
        <v>29</v>
      </c>
    </row>
    <row r="30" spans="1:1">
      <c r="A30" s="8" t="s">
        <v>30</v>
      </c>
    </row>
    <row r="31" spans="1:1">
      <c r="A31" s="8" t="s">
        <v>31</v>
      </c>
    </row>
    <row r="32" spans="1:1">
      <c r="A32" s="8" t="s">
        <v>32</v>
      </c>
    </row>
    <row r="33" spans="1:1">
      <c r="A33" s="7" t="s">
        <v>33</v>
      </c>
    </row>
    <row r="34" spans="1:1">
      <c r="A34" s="8" t="s">
        <v>34</v>
      </c>
    </row>
    <row r="35" spans="1:1">
      <c r="A35" s="7" t="s">
        <v>35</v>
      </c>
    </row>
    <row r="36" spans="1:1">
      <c r="A36" s="7" t="s">
        <v>36</v>
      </c>
    </row>
    <row r="37" spans="1:1">
      <c r="A37" s="7" t="s">
        <v>37</v>
      </c>
    </row>
    <row r="38" spans="1:1">
      <c r="A38" s="7" t="s">
        <v>38</v>
      </c>
    </row>
    <row r="39" spans="1:1">
      <c r="A39" s="7" t="s">
        <v>39</v>
      </c>
    </row>
    <row r="40" spans="1:1">
      <c r="A40" s="7" t="s">
        <v>40</v>
      </c>
    </row>
    <row r="41" spans="1:1">
      <c r="A41" s="8" t="s">
        <v>41</v>
      </c>
    </row>
    <row r="42" spans="1:1">
      <c r="A42" s="7" t="s">
        <v>42</v>
      </c>
    </row>
    <row r="43" spans="1:1">
      <c r="A43" s="8" t="s">
        <v>43</v>
      </c>
    </row>
    <row r="44" spans="1:1">
      <c r="A44" s="7" t="s">
        <v>44</v>
      </c>
    </row>
    <row r="45" spans="1:1">
      <c r="A45" s="8" t="s">
        <v>45</v>
      </c>
    </row>
    <row r="46" spans="1:1">
      <c r="A46" s="7" t="s">
        <v>46</v>
      </c>
    </row>
    <row r="47" spans="1:1">
      <c r="A47" s="7" t="s">
        <v>47</v>
      </c>
    </row>
    <row r="48" spans="1:1">
      <c r="A48" s="7" t="s">
        <v>48</v>
      </c>
    </row>
    <row r="49" spans="1:1">
      <c r="A49" s="7" t="s">
        <v>49</v>
      </c>
    </row>
    <row r="50" spans="1:1">
      <c r="A50" s="8" t="s">
        <v>50</v>
      </c>
    </row>
    <row r="51" spans="1:1">
      <c r="A51" s="7" t="s">
        <v>51</v>
      </c>
    </row>
    <row r="52" spans="1:1">
      <c r="A52" s="8" t="s">
        <v>52</v>
      </c>
    </row>
    <row r="53" spans="1:1">
      <c r="A53" s="7" t="s">
        <v>53</v>
      </c>
    </row>
    <row r="54" spans="1:1">
      <c r="A54" s="7" t="s">
        <v>54</v>
      </c>
    </row>
    <row r="55" spans="1:1">
      <c r="A55" s="8" t="s">
        <v>55</v>
      </c>
    </row>
    <row r="56" spans="1:1">
      <c r="A56" s="8" t="s">
        <v>56</v>
      </c>
    </row>
    <row r="57" spans="1:1">
      <c r="A57" s="7" t="s">
        <v>57</v>
      </c>
    </row>
    <row r="58" spans="1:1">
      <c r="A58" s="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D1FC-C633-4260-9CFA-AAB50EAE59DA}">
  <dimension ref="A1:A43"/>
  <sheetViews>
    <sheetView topLeftCell="A29" workbookViewId="0">
      <selection activeCell="A45" sqref="A45"/>
    </sheetView>
  </sheetViews>
  <sheetFormatPr defaultRowHeight="15"/>
  <cols>
    <col min="1" max="1" width="35.85546875" bestFit="1" customWidth="1"/>
  </cols>
  <sheetData>
    <row r="1" spans="1:1">
      <c r="A1" s="3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  <row r="15" spans="1:1">
      <c r="A15" t="s">
        <v>73</v>
      </c>
    </row>
    <row r="16" spans="1:1">
      <c r="A16" t="s">
        <v>74</v>
      </c>
    </row>
    <row r="17" spans="1:1">
      <c r="A17" t="s">
        <v>75</v>
      </c>
    </row>
    <row r="18" spans="1:1">
      <c r="A18" t="s">
        <v>76</v>
      </c>
    </row>
    <row r="19" spans="1:1">
      <c r="A19" t="s">
        <v>76</v>
      </c>
    </row>
    <row r="20" spans="1:1">
      <c r="A20" t="s">
        <v>77</v>
      </c>
    </row>
    <row r="21" spans="1:1">
      <c r="A21" t="s">
        <v>78</v>
      </c>
    </row>
    <row r="22" spans="1:1">
      <c r="A22" t="s">
        <v>79</v>
      </c>
    </row>
    <row r="23" spans="1:1">
      <c r="A23" t="s">
        <v>80</v>
      </c>
    </row>
    <row r="24" spans="1:1">
      <c r="A24" t="s">
        <v>81</v>
      </c>
    </row>
    <row r="25" spans="1:1">
      <c r="A25" t="s">
        <v>82</v>
      </c>
    </row>
    <row r="26" spans="1:1">
      <c r="A26" t="s">
        <v>83</v>
      </c>
    </row>
    <row r="27" spans="1:1">
      <c r="A27" t="s">
        <v>84</v>
      </c>
    </row>
    <row r="28" spans="1:1">
      <c r="A28" t="s">
        <v>85</v>
      </c>
    </row>
    <row r="29" spans="1:1">
      <c r="A29" t="s">
        <v>86</v>
      </c>
    </row>
    <row r="30" spans="1:1">
      <c r="A30" t="s">
        <v>87</v>
      </c>
    </row>
    <row r="31" spans="1:1">
      <c r="A31" t="s">
        <v>88</v>
      </c>
    </row>
    <row r="32" spans="1:1">
      <c r="A32" t="s">
        <v>89</v>
      </c>
    </row>
    <row r="33" spans="1:1">
      <c r="A33" t="s">
        <v>90</v>
      </c>
    </row>
    <row r="34" spans="1:1">
      <c r="A34" t="s">
        <v>91</v>
      </c>
    </row>
    <row r="35" spans="1:1">
      <c r="A35" t="s">
        <v>92</v>
      </c>
    </row>
    <row r="36" spans="1:1">
      <c r="A36" t="s">
        <v>93</v>
      </c>
    </row>
    <row r="37" spans="1:1">
      <c r="A37" t="s">
        <v>94</v>
      </c>
    </row>
    <row r="38" spans="1:1">
      <c r="A38" t="s">
        <v>95</v>
      </c>
    </row>
    <row r="39" spans="1:1">
      <c r="A39" t="s">
        <v>96</v>
      </c>
    </row>
    <row r="40" spans="1:1">
      <c r="A40" t="s">
        <v>97</v>
      </c>
    </row>
    <row r="41" spans="1:1">
      <c r="A41" t="s">
        <v>98</v>
      </c>
    </row>
    <row r="42" spans="1:1">
      <c r="A42" t="s">
        <v>99</v>
      </c>
    </row>
    <row r="43" spans="1:1">
      <c r="A4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C17B-471D-4BCD-AEFD-CF226FA6BB0C}">
  <dimension ref="A1:D9"/>
  <sheetViews>
    <sheetView workbookViewId="0">
      <selection sqref="A1:D1"/>
    </sheetView>
  </sheetViews>
  <sheetFormatPr defaultRowHeight="15"/>
  <cols>
    <col min="1" max="1" width="26.7109375" bestFit="1" customWidth="1"/>
    <col min="2" max="2" width="12" bestFit="1" customWidth="1"/>
    <col min="3" max="3" width="27.5703125" bestFit="1" customWidth="1"/>
    <col min="4" max="4" width="9.42578125" bestFit="1" customWidth="1"/>
  </cols>
  <sheetData>
    <row r="1" spans="1:4">
      <c r="A1" s="2" t="s">
        <v>0</v>
      </c>
      <c r="B1" s="2" t="s">
        <v>1</v>
      </c>
      <c r="C1" s="2" t="s">
        <v>101</v>
      </c>
      <c r="D1" s="2" t="s">
        <v>102</v>
      </c>
    </row>
    <row r="2" spans="1:4">
      <c r="A2" t="s">
        <v>103</v>
      </c>
      <c r="B2">
        <v>3186437226</v>
      </c>
      <c r="C2" t="s">
        <v>104</v>
      </c>
    </row>
    <row r="3" spans="1:4">
      <c r="A3" t="s">
        <v>105</v>
      </c>
      <c r="C3" t="s">
        <v>106</v>
      </c>
    </row>
    <row r="4" spans="1:4">
      <c r="A4" t="s">
        <v>107</v>
      </c>
    </row>
    <row r="5" spans="1:4">
      <c r="A5" t="s">
        <v>108</v>
      </c>
      <c r="C5" t="s">
        <v>109</v>
      </c>
    </row>
    <row r="6" spans="1:4">
      <c r="A6" t="s">
        <v>110</v>
      </c>
    </row>
    <row r="7" spans="1:4">
      <c r="A7" t="s">
        <v>111</v>
      </c>
    </row>
    <row r="8" spans="1:4">
      <c r="A8" t="s">
        <v>112</v>
      </c>
    </row>
    <row r="9" spans="1:4">
      <c r="A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5C8B-B72F-4218-99AF-CAF2236272F7}">
  <dimension ref="A1:F3"/>
  <sheetViews>
    <sheetView workbookViewId="0">
      <selection sqref="A1:E1"/>
    </sheetView>
  </sheetViews>
  <sheetFormatPr defaultRowHeight="15"/>
  <cols>
    <col min="1" max="1" width="11" bestFit="1" customWidth="1"/>
    <col min="2" max="2" width="36.28515625" bestFit="1" customWidth="1"/>
    <col min="3" max="3" width="19.7109375" bestFit="1" customWidth="1"/>
    <col min="4" max="4" width="9.42578125" bestFit="1" customWidth="1"/>
    <col min="5" max="5" width="10.5703125" bestFit="1" customWidth="1"/>
  </cols>
  <sheetData>
    <row r="1" spans="1:6">
      <c r="A1" s="2" t="s">
        <v>114</v>
      </c>
      <c r="B1" s="2" t="s">
        <v>59</v>
      </c>
      <c r="C1" s="2" t="s">
        <v>115</v>
      </c>
      <c r="D1" s="2" t="s">
        <v>116</v>
      </c>
      <c r="E1" s="2" t="s">
        <v>117</v>
      </c>
      <c r="F1" s="2"/>
    </row>
    <row r="2" spans="1:6">
      <c r="A2" t="s">
        <v>118</v>
      </c>
      <c r="B2" t="s">
        <v>119</v>
      </c>
      <c r="C2">
        <v>1</v>
      </c>
      <c r="D2">
        <v>13000</v>
      </c>
      <c r="E2">
        <v>13000</v>
      </c>
    </row>
    <row r="3" spans="1:6">
      <c r="A3" t="s">
        <v>120</v>
      </c>
      <c r="B3" t="s">
        <v>121</v>
      </c>
      <c r="C3">
        <v>1</v>
      </c>
      <c r="D3">
        <v>25000</v>
      </c>
      <c r="E3">
        <v>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F1" workbookViewId="0">
      <selection activeCell="F3" sqref="F3"/>
    </sheetView>
  </sheetViews>
  <sheetFormatPr defaultRowHeight="15"/>
  <cols>
    <col min="1" max="1" width="36.28515625" bestFit="1" customWidth="1"/>
    <col min="2" max="2" width="16.7109375" customWidth="1"/>
    <col min="3" max="3" width="19.42578125" style="4" customWidth="1"/>
    <col min="4" max="4" width="20.85546875" customWidth="1"/>
    <col min="5" max="5" width="4.85546875" bestFit="1" customWidth="1"/>
  </cols>
  <sheetData>
    <row r="1" spans="1:7">
      <c r="A1" s="1" t="s">
        <v>122</v>
      </c>
      <c r="B1" s="1" t="s">
        <v>123</v>
      </c>
      <c r="C1" s="32" t="s">
        <v>124</v>
      </c>
      <c r="D1" s="1" t="s">
        <v>125</v>
      </c>
    </row>
    <row r="2" spans="1:7">
      <c r="A2" s="25" t="s">
        <v>126</v>
      </c>
      <c r="B2" s="26">
        <v>3</v>
      </c>
      <c r="C2" s="4">
        <v>25000</v>
      </c>
      <c r="D2" s="32">
        <f>Table4[[#This Row],[Cantidad]]*Table4[[#This Row],[Valor de venta c/u]]</f>
        <v>75000</v>
      </c>
    </row>
    <row r="3" spans="1:7">
      <c r="A3" s="27" t="s">
        <v>127</v>
      </c>
      <c r="B3" s="28">
        <v>3</v>
      </c>
      <c r="C3" s="4">
        <v>30000</v>
      </c>
      <c r="D3" s="32">
        <f>Table4[[#This Row],[Cantidad]]*Table4[[#This Row],[Valor de venta c/u]]</f>
        <v>90000</v>
      </c>
    </row>
    <row r="4" spans="1:7">
      <c r="A4" s="25" t="s">
        <v>128</v>
      </c>
      <c r="B4" s="26">
        <v>2</v>
      </c>
      <c r="C4" s="4">
        <v>15000</v>
      </c>
      <c r="D4" s="32">
        <f>Table4[[#This Row],[Cantidad]]*Table4[[#This Row],[Valor de venta c/u]]</f>
        <v>30000</v>
      </c>
    </row>
    <row r="5" spans="1:7">
      <c r="A5" s="27" t="s">
        <v>129</v>
      </c>
      <c r="B5" s="28">
        <v>2</v>
      </c>
      <c r="C5" s="4">
        <v>30000</v>
      </c>
      <c r="D5" s="32">
        <f>Table4[[#This Row],[Cantidad]]*Table4[[#This Row],[Valor de venta c/u]]</f>
        <v>60000</v>
      </c>
    </row>
    <row r="6" spans="1:7">
      <c r="A6" s="25" t="s">
        <v>130</v>
      </c>
      <c r="B6" s="26">
        <v>2</v>
      </c>
      <c r="C6" s="4">
        <v>25000</v>
      </c>
      <c r="D6" s="32">
        <f>Table4[[#This Row],[Cantidad]]*Table4[[#This Row],[Valor de venta c/u]]</f>
        <v>50000</v>
      </c>
    </row>
    <row r="7" spans="1:7">
      <c r="A7" s="27" t="s">
        <v>131</v>
      </c>
      <c r="B7" s="28">
        <v>1</v>
      </c>
      <c r="C7" s="4">
        <v>22000</v>
      </c>
      <c r="D7" s="32">
        <f>Table4[[#This Row],[Cantidad]]*Table4[[#This Row],[Valor de venta c/u]]</f>
        <v>22000</v>
      </c>
    </row>
    <row r="8" spans="1:7">
      <c r="A8" s="25" t="s">
        <v>132</v>
      </c>
      <c r="B8" s="29">
        <v>3</v>
      </c>
      <c r="C8" s="4">
        <v>8000</v>
      </c>
      <c r="D8" s="32">
        <f>Table4[[#This Row],[Cantidad]]*Table4[[#This Row],[Valor de venta c/u]]</f>
        <v>24000</v>
      </c>
    </row>
    <row r="9" spans="1:7">
      <c r="A9" s="27" t="s">
        <v>133</v>
      </c>
      <c r="B9" s="30">
        <v>5</v>
      </c>
      <c r="C9" s="4">
        <v>6000</v>
      </c>
      <c r="D9" s="32">
        <f>Table4[[#This Row],[Cantidad]]*Table4[[#This Row],[Valor de venta c/u]]</f>
        <v>30000</v>
      </c>
    </row>
    <row r="10" spans="1:7">
      <c r="A10" s="25" t="s">
        <v>134</v>
      </c>
      <c r="B10" s="29">
        <v>12</v>
      </c>
      <c r="C10" s="4">
        <v>4000</v>
      </c>
      <c r="D10" s="32">
        <f>Table4[[#This Row],[Cantidad]]*Table4[[#This Row],[Valor de venta c/u]]</f>
        <v>48000</v>
      </c>
    </row>
    <row r="11" spans="1:7">
      <c r="A11" s="34" t="s">
        <v>135</v>
      </c>
      <c r="B11" s="24">
        <v>4</v>
      </c>
      <c r="C11" s="31">
        <v>15000</v>
      </c>
      <c r="D11" s="32">
        <f>Table4[[#This Row],[Cantidad]]*Table4[[#This Row],[Valor de venta c/u]]</f>
        <v>60000</v>
      </c>
    </row>
    <row r="12" spans="1:7">
      <c r="A12" s="25" t="s">
        <v>136</v>
      </c>
      <c r="B12" s="24">
        <v>30</v>
      </c>
      <c r="C12" s="31">
        <v>500</v>
      </c>
      <c r="D12" s="32">
        <f>Table4[[#This Row],[Cantidad]]*Table4[[#This Row],[Valor de venta c/u]]</f>
        <v>15000</v>
      </c>
    </row>
    <row r="13" spans="1:7">
      <c r="A13" s="34" t="s">
        <v>137</v>
      </c>
      <c r="B13" s="24">
        <v>4</v>
      </c>
      <c r="C13" s="31">
        <v>7000</v>
      </c>
      <c r="D13" s="32">
        <f>Table4[[#This Row],[Cantidad]]*Table4[[#This Row],[Valor de venta c/u]]</f>
        <v>28000</v>
      </c>
    </row>
    <row r="14" spans="1:7">
      <c r="A14" s="25" t="s">
        <v>138</v>
      </c>
      <c r="B14" s="24">
        <v>2</v>
      </c>
      <c r="C14" s="31">
        <v>35000</v>
      </c>
      <c r="D14" s="32">
        <f>Table4[[#This Row],[Cantidad]]*Table4[[#This Row],[Valor de venta c/u]]</f>
        <v>70000</v>
      </c>
    </row>
    <row r="15" spans="1:7">
      <c r="A15" s="34" t="s">
        <v>139</v>
      </c>
      <c r="B15" s="24">
        <v>4</v>
      </c>
      <c r="C15" s="31">
        <v>5000</v>
      </c>
      <c r="D15" s="32">
        <f>Table4[[#This Row],[Cantidad]]*Table4[[#This Row],[Valor de venta c/u]]</f>
        <v>20000</v>
      </c>
      <c r="G15" s="4"/>
    </row>
    <row r="16" spans="1:7">
      <c r="A16" s="33" t="s">
        <v>140</v>
      </c>
      <c r="B16" s="24">
        <v>6</v>
      </c>
      <c r="C16" s="31">
        <v>5000</v>
      </c>
      <c r="D16" s="32">
        <f>Table4[[#This Row],[Cantidad]]*Table4[[#This Row],[Valor de venta c/u]]</f>
        <v>30000</v>
      </c>
    </row>
    <row r="17" spans="1:4">
      <c r="A17" s="25" t="s">
        <v>141</v>
      </c>
      <c r="B17" s="24">
        <v>2</v>
      </c>
      <c r="C17" s="4">
        <v>5000</v>
      </c>
      <c r="D17" s="32">
        <f>Table4[[#This Row],[Cantidad]]*Table4[[#This Row],[Valor de venta c/u]]</f>
        <v>10000</v>
      </c>
    </row>
    <row r="18" spans="1:4">
      <c r="A18" s="25" t="s">
        <v>142</v>
      </c>
      <c r="B18" s="24">
        <v>2</v>
      </c>
      <c r="C18" s="4">
        <v>8000</v>
      </c>
      <c r="D18" s="32">
        <f>Table4[[#This Row],[Cantidad]]*Table4[[#This Row],[Valor de venta c/u]]</f>
        <v>16000</v>
      </c>
    </row>
    <row r="19" spans="1:4">
      <c r="A19" s="25" t="s">
        <v>143</v>
      </c>
      <c r="B19" s="24">
        <v>2</v>
      </c>
      <c r="C19" s="4">
        <v>12000</v>
      </c>
      <c r="D19" s="32">
        <f>Table4[[#This Row],[Cantidad]]*Table4[[#This Row],[Valor de venta c/u]]</f>
        <v>24000</v>
      </c>
    </row>
    <row r="20" spans="1:4">
      <c r="A20" s="25" t="s">
        <v>144</v>
      </c>
      <c r="B20" s="24">
        <v>2</v>
      </c>
      <c r="C20" s="4">
        <v>40000</v>
      </c>
      <c r="D20" s="32">
        <f>Table4[[#This Row],[Cantidad]]*Table4[[#This Row],[Valor de venta c/u]]</f>
        <v>80000</v>
      </c>
    </row>
    <row r="21" spans="1:4">
      <c r="A21" s="25" t="s">
        <v>145</v>
      </c>
      <c r="B21" s="24">
        <v>6</v>
      </c>
      <c r="C21" s="4">
        <v>2500</v>
      </c>
      <c r="D21" s="32">
        <f>Table4[[#This Row],[Cantidad]]*Table4[[#This Row],[Valor de venta c/u]]</f>
        <v>15000</v>
      </c>
    </row>
    <row r="22" spans="1:4">
      <c r="A22" s="25" t="s">
        <v>146</v>
      </c>
      <c r="B22" s="24">
        <v>3</v>
      </c>
      <c r="C22" s="4">
        <v>6000</v>
      </c>
      <c r="D22" s="32">
        <f>Table4[[#This Row],[Cantidad]]*Table4[[#This Row],[Valor de venta c/u]]</f>
        <v>18000</v>
      </c>
    </row>
    <row r="23" spans="1:4">
      <c r="A23" s="25" t="s">
        <v>147</v>
      </c>
      <c r="B23" s="24">
        <v>3</v>
      </c>
      <c r="C23" s="4">
        <v>8000</v>
      </c>
      <c r="D23" s="32">
        <f>Table4[[#This Row],[Cantidad]]*Table4[[#This Row],[Valor de venta c/u]]</f>
        <v>24000</v>
      </c>
    </row>
    <row r="24" spans="1:4">
      <c r="A24" s="25" t="s">
        <v>148</v>
      </c>
      <c r="B24" s="24">
        <v>4</v>
      </c>
      <c r="C24" s="4">
        <v>5000</v>
      </c>
      <c r="D24" s="32">
        <f>Table4[[#This Row],[Cantidad]]*Table4[[#This Row],[Valor de venta c/u]]</f>
        <v>20000</v>
      </c>
    </row>
    <row r="25" spans="1:4">
      <c r="A25" s="33" t="s">
        <v>128</v>
      </c>
      <c r="B25" s="24">
        <v>2</v>
      </c>
      <c r="C25" s="4">
        <v>15000</v>
      </c>
      <c r="D25" s="32">
        <f>Table4[[#This Row],[Cantidad]]*Table4[[#This Row],[Valor de venta c/u]]</f>
        <v>30000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DFF6-FBE7-40C4-B7F6-784E59A7A069}">
  <dimension ref="A1:E34"/>
  <sheetViews>
    <sheetView topLeftCell="A11" workbookViewId="0">
      <selection activeCell="E34" sqref="E29:E34"/>
    </sheetView>
  </sheetViews>
  <sheetFormatPr defaultRowHeight="15"/>
  <cols>
    <col min="1" max="1" width="11" bestFit="1" customWidth="1"/>
    <col min="2" max="2" width="33.5703125" bestFit="1" customWidth="1"/>
    <col min="3" max="3" width="21.28515625" bestFit="1" customWidth="1"/>
    <col min="4" max="4" width="11.42578125" bestFit="1" customWidth="1"/>
    <col min="5" max="5" width="12.5703125" bestFit="1" customWidth="1"/>
  </cols>
  <sheetData>
    <row r="1" spans="1:5">
      <c r="A1" s="3" t="s">
        <v>114</v>
      </c>
      <c r="B1" s="3" t="s">
        <v>59</v>
      </c>
      <c r="C1" s="3" t="s">
        <v>149</v>
      </c>
      <c r="D1" s="3" t="s">
        <v>116</v>
      </c>
      <c r="E1" s="3" t="s">
        <v>117</v>
      </c>
    </row>
    <row r="2" spans="1:5">
      <c r="A2" t="s">
        <v>150</v>
      </c>
      <c r="B2" t="s">
        <v>126</v>
      </c>
      <c r="C2" s="1">
        <v>3</v>
      </c>
      <c r="D2" s="1">
        <v>13000</v>
      </c>
      <c r="E2" s="1">
        <f>D2*C2</f>
        <v>39000</v>
      </c>
    </row>
    <row r="3" spans="1:5">
      <c r="A3" t="s">
        <v>150</v>
      </c>
      <c r="B3" t="s">
        <v>127</v>
      </c>
      <c r="C3" s="1">
        <v>3</v>
      </c>
      <c r="D3" s="1">
        <v>12000</v>
      </c>
      <c r="E3" s="1">
        <f>D3*C3</f>
        <v>36000</v>
      </c>
    </row>
    <row r="4" spans="1:5">
      <c r="A4" t="s">
        <v>150</v>
      </c>
      <c r="B4" t="s">
        <v>128</v>
      </c>
      <c r="C4" s="1">
        <v>4</v>
      </c>
      <c r="D4" s="1">
        <v>7000</v>
      </c>
      <c r="E4" s="1">
        <f>D4*C4</f>
        <v>28000</v>
      </c>
    </row>
    <row r="5" spans="1:5">
      <c r="A5" t="s">
        <v>150</v>
      </c>
      <c r="B5" t="s">
        <v>129</v>
      </c>
      <c r="C5" s="1">
        <v>2</v>
      </c>
      <c r="D5" s="1">
        <v>12000</v>
      </c>
      <c r="E5" s="1">
        <f>D5*C5</f>
        <v>24000</v>
      </c>
    </row>
    <row r="6" spans="1:5">
      <c r="A6" t="s">
        <v>150</v>
      </c>
      <c r="B6" t="s">
        <v>130</v>
      </c>
      <c r="C6" s="1">
        <v>2</v>
      </c>
      <c r="D6" s="1">
        <v>10000</v>
      </c>
      <c r="E6" s="1">
        <f>D6*C6</f>
        <v>20000</v>
      </c>
    </row>
    <row r="7" spans="1:5">
      <c r="A7" t="s">
        <v>150</v>
      </c>
      <c r="B7" t="s">
        <v>131</v>
      </c>
      <c r="C7" s="1">
        <v>1</v>
      </c>
      <c r="D7" s="1">
        <v>8000</v>
      </c>
      <c r="E7" s="1">
        <f>D7*C7</f>
        <v>8000</v>
      </c>
    </row>
    <row r="8" spans="1:5">
      <c r="A8" t="s">
        <v>150</v>
      </c>
      <c r="B8" t="s">
        <v>132</v>
      </c>
      <c r="C8" s="24">
        <v>3</v>
      </c>
      <c r="D8" s="1">
        <v>4000</v>
      </c>
      <c r="E8" s="1">
        <f>D8*C8</f>
        <v>12000</v>
      </c>
    </row>
    <row r="9" spans="1:5">
      <c r="A9" t="s">
        <v>150</v>
      </c>
      <c r="B9" t="s">
        <v>133</v>
      </c>
      <c r="C9" s="24">
        <v>5</v>
      </c>
      <c r="D9" s="1">
        <v>3000</v>
      </c>
      <c r="E9" s="1">
        <f>D9*C9</f>
        <v>15000</v>
      </c>
    </row>
    <row r="10" spans="1:5">
      <c r="A10" t="s">
        <v>150</v>
      </c>
      <c r="B10" t="s">
        <v>134</v>
      </c>
      <c r="C10" s="24">
        <v>1</v>
      </c>
      <c r="D10" s="1">
        <v>22700</v>
      </c>
      <c r="E10" s="1">
        <f>D10*C10</f>
        <v>22700</v>
      </c>
    </row>
    <row r="11" spans="1:5">
      <c r="A11" t="s">
        <v>151</v>
      </c>
      <c r="B11" t="s">
        <v>135</v>
      </c>
      <c r="C11" s="24">
        <v>4</v>
      </c>
      <c r="D11" s="1">
        <v>6000</v>
      </c>
      <c r="E11" s="1">
        <f>D11*C11</f>
        <v>24000</v>
      </c>
    </row>
    <row r="12" spans="1:5">
      <c r="A12" t="s">
        <v>151</v>
      </c>
      <c r="B12" t="s">
        <v>136</v>
      </c>
      <c r="C12" s="24">
        <v>30</v>
      </c>
      <c r="D12" s="1">
        <v>134</v>
      </c>
      <c r="E12" s="1">
        <f>D12*C12</f>
        <v>4020</v>
      </c>
    </row>
    <row r="13" spans="1:5">
      <c r="A13" t="s">
        <v>151</v>
      </c>
      <c r="B13" t="s">
        <v>137</v>
      </c>
      <c r="C13" s="24">
        <v>4</v>
      </c>
      <c r="D13" s="1">
        <v>1600</v>
      </c>
      <c r="E13" s="1">
        <f>D13*C13</f>
        <v>6400</v>
      </c>
    </row>
    <row r="14" spans="1:5">
      <c r="A14" t="s">
        <v>151</v>
      </c>
      <c r="B14" t="s">
        <v>138</v>
      </c>
      <c r="C14" s="24">
        <v>2</v>
      </c>
      <c r="D14" s="1">
        <v>12000</v>
      </c>
      <c r="E14" s="1">
        <f>D14*C14</f>
        <v>24000</v>
      </c>
    </row>
    <row r="15" spans="1:5">
      <c r="A15" t="s">
        <v>151</v>
      </c>
      <c r="B15" t="s">
        <v>139</v>
      </c>
      <c r="C15" s="24">
        <v>4</v>
      </c>
      <c r="D15" s="1">
        <v>3200</v>
      </c>
      <c r="E15" s="1">
        <f>D15*C15</f>
        <v>12800</v>
      </c>
    </row>
    <row r="16" spans="1:5">
      <c r="A16" t="s">
        <v>151</v>
      </c>
      <c r="B16" t="s">
        <v>140</v>
      </c>
      <c r="C16" s="24">
        <v>6</v>
      </c>
      <c r="D16" s="1">
        <v>2300</v>
      </c>
      <c r="E16" s="1">
        <f>D16*C16</f>
        <v>13800</v>
      </c>
    </row>
    <row r="17" spans="1:5">
      <c r="A17" t="s">
        <v>152</v>
      </c>
      <c r="B17" t="s">
        <v>141</v>
      </c>
      <c r="C17" s="24">
        <v>2</v>
      </c>
      <c r="D17" s="1">
        <v>2600</v>
      </c>
      <c r="E17" s="1">
        <f>D17*C17</f>
        <v>5200</v>
      </c>
    </row>
    <row r="18" spans="1:5">
      <c r="A18" t="s">
        <v>152</v>
      </c>
      <c r="B18" t="s">
        <v>142</v>
      </c>
      <c r="C18" s="24">
        <v>2</v>
      </c>
      <c r="D18" s="1">
        <v>4000</v>
      </c>
      <c r="E18" s="1">
        <f>D18*C18</f>
        <v>8000</v>
      </c>
    </row>
    <row r="19" spans="1:5">
      <c r="A19" t="s">
        <v>152</v>
      </c>
      <c r="B19" t="s">
        <v>143</v>
      </c>
      <c r="C19" s="24">
        <v>2</v>
      </c>
      <c r="D19" s="1">
        <v>8000</v>
      </c>
      <c r="E19" s="1">
        <f>D19*C19</f>
        <v>16000</v>
      </c>
    </row>
    <row r="20" spans="1:5">
      <c r="A20" t="s">
        <v>152</v>
      </c>
      <c r="B20" t="s">
        <v>144</v>
      </c>
      <c r="C20" s="24">
        <v>2</v>
      </c>
      <c r="D20" s="1">
        <v>14000</v>
      </c>
      <c r="E20" s="1">
        <f>D20*C20</f>
        <v>28000</v>
      </c>
    </row>
    <row r="21" spans="1:5">
      <c r="A21" t="s">
        <v>152</v>
      </c>
      <c r="B21" t="s">
        <v>145</v>
      </c>
      <c r="C21" s="24">
        <v>6</v>
      </c>
      <c r="D21" s="1">
        <v>1000</v>
      </c>
      <c r="E21" s="1">
        <f>D21*C21</f>
        <v>6000</v>
      </c>
    </row>
    <row r="22" spans="1:5">
      <c r="A22" t="s">
        <v>152</v>
      </c>
      <c r="B22" t="s">
        <v>146</v>
      </c>
      <c r="C22" s="24">
        <v>3</v>
      </c>
      <c r="D22" s="1">
        <v>3000</v>
      </c>
      <c r="E22" s="1">
        <f>D22*C22</f>
        <v>9000</v>
      </c>
    </row>
    <row r="23" spans="1:5">
      <c r="A23" t="s">
        <v>152</v>
      </c>
      <c r="B23" t="s">
        <v>147</v>
      </c>
      <c r="C23" s="24">
        <v>3</v>
      </c>
      <c r="D23" s="1">
        <v>4000</v>
      </c>
      <c r="E23" s="1">
        <f>D23*C23</f>
        <v>12000</v>
      </c>
    </row>
    <row r="24" spans="1:5">
      <c r="A24" t="s">
        <v>152</v>
      </c>
      <c r="B24" t="s">
        <v>148</v>
      </c>
      <c r="C24" s="24">
        <v>4</v>
      </c>
      <c r="D24" s="1">
        <v>3000</v>
      </c>
      <c r="E24" s="1">
        <f>D24*C24</f>
        <v>12000</v>
      </c>
    </row>
    <row r="25" spans="1:5">
      <c r="A25" t="s">
        <v>152</v>
      </c>
      <c r="B25" t="s">
        <v>128</v>
      </c>
      <c r="C25" s="24">
        <v>2</v>
      </c>
      <c r="D25" s="1">
        <v>6500</v>
      </c>
      <c r="E25" s="1">
        <f>D25*C25</f>
        <v>13000</v>
      </c>
    </row>
    <row r="26" spans="1:5">
      <c r="A26" t="s">
        <v>153</v>
      </c>
      <c r="B26" t="s">
        <v>128</v>
      </c>
      <c r="C26" s="24">
        <v>3</v>
      </c>
      <c r="D26" s="1">
        <v>7000</v>
      </c>
      <c r="E26" s="1">
        <f>D26*C26</f>
        <v>21000</v>
      </c>
    </row>
    <row r="27" spans="1:5">
      <c r="A27" t="s">
        <v>153</v>
      </c>
      <c r="B27" t="s">
        <v>126</v>
      </c>
      <c r="C27" s="24">
        <v>4</v>
      </c>
      <c r="D27" s="1">
        <v>12000</v>
      </c>
      <c r="E27" s="1">
        <f>D27*C27</f>
        <v>48000</v>
      </c>
    </row>
    <row r="28" spans="1:5">
      <c r="A28" t="s">
        <v>153</v>
      </c>
      <c r="B28" t="s">
        <v>129</v>
      </c>
      <c r="C28" s="24">
        <v>2</v>
      </c>
      <c r="D28" s="1">
        <v>12500</v>
      </c>
      <c r="E28" s="1">
        <f>D28*C28</f>
        <v>25000</v>
      </c>
    </row>
    <row r="29" spans="1:5">
      <c r="A29" t="s">
        <v>154</v>
      </c>
      <c r="B29" t="s">
        <v>128</v>
      </c>
      <c r="C29" s="24">
        <v>5</v>
      </c>
      <c r="D29" s="1">
        <v>7000</v>
      </c>
      <c r="E29" s="1">
        <f>D29*C29</f>
        <v>35000</v>
      </c>
    </row>
    <row r="30" spans="1:5">
      <c r="A30" t="s">
        <v>154</v>
      </c>
      <c r="B30" t="s">
        <v>130</v>
      </c>
      <c r="C30" s="24">
        <v>3</v>
      </c>
      <c r="D30" s="1">
        <v>11000</v>
      </c>
      <c r="E30" s="1">
        <f>D30*C30</f>
        <v>33000</v>
      </c>
    </row>
    <row r="31" spans="1:5">
      <c r="A31" t="s">
        <v>154</v>
      </c>
      <c r="B31" t="s">
        <v>155</v>
      </c>
      <c r="C31" s="24">
        <v>3</v>
      </c>
      <c r="D31" s="1">
        <v>18500</v>
      </c>
      <c r="E31" s="1">
        <f>D31*C31</f>
        <v>55500</v>
      </c>
    </row>
    <row r="32" spans="1:5">
      <c r="A32" t="s">
        <v>154</v>
      </c>
      <c r="B32" t="s">
        <v>156</v>
      </c>
      <c r="C32" s="24">
        <v>4</v>
      </c>
      <c r="D32" s="1">
        <v>2500</v>
      </c>
      <c r="E32" s="1">
        <f>D32*C32</f>
        <v>10000</v>
      </c>
    </row>
    <row r="33" spans="1:5">
      <c r="A33" t="s">
        <v>154</v>
      </c>
      <c r="B33" t="s">
        <v>157</v>
      </c>
      <c r="C33" s="24">
        <v>4</v>
      </c>
      <c r="D33" s="1">
        <v>3000</v>
      </c>
      <c r="E33" s="1">
        <f>D33*C33</f>
        <v>12000</v>
      </c>
    </row>
    <row r="34" spans="1:5">
      <c r="A34" t="s">
        <v>154</v>
      </c>
      <c r="B34" t="s">
        <v>133</v>
      </c>
      <c r="C34" s="24">
        <v>4</v>
      </c>
      <c r="D34" s="1">
        <v>3000</v>
      </c>
      <c r="E34" s="1">
        <f>D34*C34</f>
        <v>12000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28F8-EC73-438B-A7AF-6AE68A5DBFC6}">
  <dimension ref="A1:H8"/>
  <sheetViews>
    <sheetView workbookViewId="0">
      <selection activeCell="A2" sqref="A2:D2"/>
    </sheetView>
  </sheetViews>
  <sheetFormatPr defaultRowHeight="15"/>
  <cols>
    <col min="1" max="1" width="12" bestFit="1" customWidth="1"/>
    <col min="2" max="2" width="27" bestFit="1" customWidth="1"/>
    <col min="3" max="3" width="12" customWidth="1"/>
    <col min="4" max="5" width="18.7109375" bestFit="1" customWidth="1"/>
    <col min="6" max="6" width="39.5703125" bestFit="1" customWidth="1"/>
    <col min="7" max="7" width="24.28515625" customWidth="1"/>
    <col min="8" max="8" width="10.140625" bestFit="1" customWidth="1"/>
  </cols>
  <sheetData>
    <row r="1" spans="1:8">
      <c r="A1" t="s">
        <v>158</v>
      </c>
      <c r="B1" t="s">
        <v>159</v>
      </c>
      <c r="C1" s="4" t="s">
        <v>160</v>
      </c>
      <c r="D1" s="5" t="s">
        <v>161</v>
      </c>
      <c r="E1" s="5" t="s">
        <v>162</v>
      </c>
      <c r="F1" t="s">
        <v>163</v>
      </c>
      <c r="G1" t="s">
        <v>164</v>
      </c>
      <c r="H1" t="s">
        <v>165</v>
      </c>
    </row>
    <row r="2" spans="1:8">
      <c r="A2" t="s">
        <v>151</v>
      </c>
      <c r="B2" t="s">
        <v>166</v>
      </c>
      <c r="C2" s="4">
        <v>25234</v>
      </c>
      <c r="D2" s="5">
        <v>45877</v>
      </c>
      <c r="E2" s="5">
        <v>45891</v>
      </c>
    </row>
    <row r="3" spans="1:8">
      <c r="A3" t="s">
        <v>167</v>
      </c>
      <c r="B3" t="s">
        <v>113</v>
      </c>
      <c r="C3" s="4">
        <v>204500</v>
      </c>
      <c r="D3" s="5">
        <v>45889</v>
      </c>
      <c r="E3" s="5">
        <v>45889</v>
      </c>
    </row>
    <row r="4" spans="1:8">
      <c r="C4" s="4">
        <f>SUM(Table1[Valor])</f>
        <v>229734</v>
      </c>
      <c r="D4" s="5"/>
      <c r="E4" s="5"/>
    </row>
    <row r="8" spans="1:8">
      <c r="D8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A9CF-8853-4859-B4CD-4AC83BB6673A}">
  <dimension ref="A1:L232"/>
  <sheetViews>
    <sheetView tabSelected="1" topLeftCell="B183" workbookViewId="0">
      <selection activeCell="K11" sqref="K11"/>
    </sheetView>
  </sheetViews>
  <sheetFormatPr defaultColWidth="9.140625" defaultRowHeight="15"/>
  <cols>
    <col min="1" max="1" width="36.28515625" style="17" bestFit="1" customWidth="1"/>
    <col min="2" max="2" width="18.85546875" style="17" bestFit="1" customWidth="1"/>
    <col min="3" max="3" width="19.140625" style="17" bestFit="1" customWidth="1"/>
    <col min="4" max="4" width="15.85546875" style="17" bestFit="1" customWidth="1"/>
    <col min="5" max="5" width="16.85546875" style="17" bestFit="1" customWidth="1"/>
    <col min="6" max="6" width="13.42578125" style="17" bestFit="1" customWidth="1"/>
    <col min="7" max="7" width="11.85546875" style="20" customWidth="1"/>
    <col min="8" max="8" width="16.85546875" style="17" customWidth="1"/>
    <col min="9" max="9" width="11.42578125" style="17" customWidth="1"/>
    <col min="10" max="10" width="13.7109375" style="17" bestFit="1" customWidth="1"/>
    <col min="11" max="11" width="11.85546875" style="17" customWidth="1"/>
    <col min="12" max="12" width="11.140625" style="17" customWidth="1"/>
    <col min="13" max="16384" width="9.140625" style="17"/>
  </cols>
  <sheetData>
    <row r="1" spans="1:12">
      <c r="A1" s="17" t="s">
        <v>168</v>
      </c>
      <c r="B1" s="17" t="s">
        <v>169</v>
      </c>
      <c r="C1" s="18" t="s">
        <v>170</v>
      </c>
      <c r="D1" s="19" t="s">
        <v>171</v>
      </c>
      <c r="E1" s="19" t="s">
        <v>172</v>
      </c>
      <c r="F1" s="19" t="s">
        <v>117</v>
      </c>
      <c r="G1" s="22" t="s">
        <v>2</v>
      </c>
      <c r="H1" s="17" t="s">
        <v>164</v>
      </c>
      <c r="I1" s="21"/>
      <c r="J1" s="21" t="s">
        <v>173</v>
      </c>
      <c r="K1" s="21" t="s">
        <v>174</v>
      </c>
      <c r="L1" s="21" t="s">
        <v>175</v>
      </c>
    </row>
    <row r="2" spans="1:12">
      <c r="C2" s="18">
        <v>1</v>
      </c>
      <c r="D2" s="19">
        <v>111000</v>
      </c>
      <c r="E2" s="19">
        <v>111000</v>
      </c>
      <c r="F2" s="19">
        <f>Table2[[#This Row],[Valor de venta]]*Table2[[#This Row],[Cantidad vendida]]</f>
        <v>111000</v>
      </c>
      <c r="G2" s="22">
        <f>IF(Table2[[#This Row],[Valor pagado]]&lt;0, 0, Table2[[#This Row],[Valor total]]-Table2[[#This Row],[Valor pagado]])</f>
        <v>0</v>
      </c>
      <c r="I2" s="21"/>
      <c r="J2" s="19">
        <f>SUM(Table2[Valor total])</f>
        <v>2237800</v>
      </c>
      <c r="K2" s="19">
        <f>SUM(Table2[Valor pagado])</f>
        <v>25000</v>
      </c>
      <c r="L2" s="20">
        <f>SUM(Table2[Debe])</f>
        <v>515000</v>
      </c>
    </row>
    <row r="3" spans="1:12">
      <c r="A3" t="s">
        <v>176</v>
      </c>
      <c r="B3" s="17" t="s">
        <v>177</v>
      </c>
      <c r="C3" s="18">
        <v>1</v>
      </c>
      <c r="D3" s="19">
        <v>5000</v>
      </c>
      <c r="E3" s="19">
        <v>5000</v>
      </c>
      <c r="F3" s="19">
        <f>Table2[[#This Row],[Valor de venta]]*Table2[[#This Row],[Cantidad vendida]]</f>
        <v>5000</v>
      </c>
      <c r="G3" s="20">
        <f>IF(Table2[[#This Row],[Valor pagado]]&lt;0, 0, Table2[[#This Row],[Valor total]]-Table2[[#This Row],[Valor pagado]])</f>
        <v>0</v>
      </c>
    </row>
    <row r="4" spans="1:12">
      <c r="A4" s="17" t="s">
        <v>178</v>
      </c>
      <c r="B4" s="17" t="s">
        <v>179</v>
      </c>
      <c r="C4" s="18">
        <v>1</v>
      </c>
      <c r="D4" s="19">
        <v>0</v>
      </c>
      <c r="E4" s="19">
        <v>4000</v>
      </c>
      <c r="F4" s="19">
        <f>Table2[[#This Row],[Valor de venta]]*Table2[[#This Row],[Cantidad vendida]]</f>
        <v>4000</v>
      </c>
      <c r="G4" s="20">
        <f>IF(Table2[[#This Row],[Valor pagado]]&lt;0, 0, Table2[[#This Row],[Valor total]]-Table2[[#This Row],[Valor pagado]])</f>
        <v>4000</v>
      </c>
    </row>
    <row r="5" spans="1:12">
      <c r="A5" s="17" t="s">
        <v>180</v>
      </c>
      <c r="B5" s="17" t="s">
        <v>181</v>
      </c>
      <c r="C5" s="18">
        <v>1</v>
      </c>
      <c r="D5" s="19">
        <v>4000</v>
      </c>
      <c r="E5" s="19">
        <v>4000</v>
      </c>
      <c r="F5" s="19">
        <f>Table2[[#This Row],[Valor de venta]]*Table2[[#This Row],[Cantidad vendida]]</f>
        <v>4000</v>
      </c>
      <c r="G5" s="20">
        <f>IF(Table2[[#This Row],[Valor pagado]]&lt;0, 0, Table2[[#This Row],[Valor total]]-Table2[[#This Row],[Valor pagado]])</f>
        <v>0</v>
      </c>
    </row>
    <row r="6" spans="1:12">
      <c r="A6" s="17" t="s">
        <v>155</v>
      </c>
      <c r="B6" s="17" t="s">
        <v>182</v>
      </c>
      <c r="C6" s="18">
        <v>1</v>
      </c>
      <c r="D6" s="19">
        <v>45000</v>
      </c>
      <c r="E6" s="19">
        <v>45000</v>
      </c>
      <c r="F6" s="19">
        <f>Table2[[#This Row],[Valor de venta]]*Table2[[#This Row],[Cantidad vendida]]</f>
        <v>45000</v>
      </c>
      <c r="G6" s="20">
        <f>IF(Table2[[#This Row],[Valor pagado]]&lt;0, 0, Table2[[#This Row],[Valor total]]-Table2[[#This Row],[Valor pagado]])</f>
        <v>0</v>
      </c>
    </row>
    <row r="7" spans="1:12">
      <c r="A7" s="17" t="s">
        <v>183</v>
      </c>
      <c r="B7" s="17" t="s">
        <v>184</v>
      </c>
      <c r="C7" s="18">
        <v>1</v>
      </c>
      <c r="D7" s="19">
        <v>30000</v>
      </c>
      <c r="E7" s="19">
        <v>30000</v>
      </c>
      <c r="F7" s="19">
        <f>Table2[[#This Row],[Valor de venta]]*Table2[[#This Row],[Cantidad vendida]]</f>
        <v>30000</v>
      </c>
      <c r="G7" s="20">
        <f>IF(Table2[[#This Row],[Valor pagado]]&lt;0, 0, Table2[[#This Row],[Valor total]]-Table2[[#This Row],[Valor pagado]])</f>
        <v>0</v>
      </c>
    </row>
    <row r="8" spans="1:12">
      <c r="A8" s="17" t="s">
        <v>155</v>
      </c>
      <c r="B8" s="17" t="s">
        <v>184</v>
      </c>
      <c r="C8" s="18">
        <v>1</v>
      </c>
      <c r="D8" s="19">
        <v>45000</v>
      </c>
      <c r="E8" s="19">
        <v>45000</v>
      </c>
      <c r="F8" s="19">
        <f>Table2[[#This Row],[Valor de venta]]*Table2[[#This Row],[Cantidad vendida]]</f>
        <v>45000</v>
      </c>
      <c r="G8" s="20">
        <f>IF(Table2[[#This Row],[Valor pagado]]&lt;0, 0, Table2[[#This Row],[Valor total]]-Table2[[#This Row],[Valor pagado]])</f>
        <v>0</v>
      </c>
    </row>
    <row r="9" spans="1:12">
      <c r="A9" s="17" t="s">
        <v>185</v>
      </c>
      <c r="B9" s="17" t="s">
        <v>186</v>
      </c>
      <c r="C9" s="18">
        <v>1</v>
      </c>
      <c r="D9" s="19">
        <v>25000</v>
      </c>
      <c r="E9" s="19">
        <v>25000</v>
      </c>
      <c r="F9" s="19">
        <f>Table2[[#This Row],[Valor de venta]]*Table2[[#This Row],[Cantidad vendida]]</f>
        <v>25000</v>
      </c>
      <c r="G9" s="20">
        <f>IF(Table2[[#This Row],[Valor pagado]]&lt;0, 0, Table2[[#This Row],[Valor total]]-Table2[[#This Row],[Valor pagado]])</f>
        <v>0</v>
      </c>
    </row>
    <row r="10" spans="1:12">
      <c r="A10" s="17" t="s">
        <v>151</v>
      </c>
      <c r="C10" s="18">
        <v>1</v>
      </c>
      <c r="D10" s="19">
        <v>-204500</v>
      </c>
      <c r="E10" s="19"/>
      <c r="F10" s="19">
        <f>Table2[[#This Row],[Valor de venta]]*Table2[[#This Row],[Cantidad vendida]]</f>
        <v>0</v>
      </c>
      <c r="G10" s="20">
        <f>IF(Table2[[#This Row],[Valor pagado]]&lt;0, 0, Table2[[#This Row],[Valor total]]-Table2[[#This Row],[Valor pagado]])</f>
        <v>0</v>
      </c>
    </row>
    <row r="11" spans="1:12">
      <c r="A11" s="17" t="s">
        <v>187</v>
      </c>
      <c r="B11" s="17" t="s">
        <v>179</v>
      </c>
      <c r="C11" s="18">
        <v>2</v>
      </c>
      <c r="D11" s="19">
        <v>5000</v>
      </c>
      <c r="E11" s="19">
        <v>5000</v>
      </c>
      <c r="F11" s="19">
        <f>Table2[[#This Row],[Valor de venta]]*Table2[[#This Row],[Cantidad vendida]]</f>
        <v>10000</v>
      </c>
      <c r="G11" s="20">
        <f>IF(Table2[[#This Row],[Valor pagado]]&lt;0, 0, Table2[[#This Row],[Valor total]]-Table2[[#This Row],[Valor pagado]])</f>
        <v>5000</v>
      </c>
    </row>
    <row r="12" spans="1:12">
      <c r="A12" s="17" t="s">
        <v>188</v>
      </c>
      <c r="B12" s="17" t="s">
        <v>179</v>
      </c>
      <c r="C12" s="18">
        <v>1</v>
      </c>
      <c r="D12" s="19">
        <v>0</v>
      </c>
      <c r="E12" s="19">
        <v>4000</v>
      </c>
      <c r="F12" s="19">
        <f>Table2[[#This Row],[Valor de venta]]*Table2[[#This Row],[Cantidad vendida]]</f>
        <v>4000</v>
      </c>
      <c r="G12" s="20">
        <f>IF(Table2[[#This Row],[Valor pagado]]&lt;0, 0, Table2[[#This Row],[Valor total]]-Table2[[#This Row],[Valor pagado]])</f>
        <v>4000</v>
      </c>
    </row>
    <row r="13" spans="1:12">
      <c r="A13" s="23" t="s">
        <v>189</v>
      </c>
      <c r="B13" s="17" t="s">
        <v>179</v>
      </c>
      <c r="C13" s="18">
        <v>2</v>
      </c>
      <c r="D13" s="19">
        <v>0</v>
      </c>
      <c r="E13" s="19">
        <v>7000</v>
      </c>
      <c r="F13" s="19">
        <f>Table2[[#This Row],[Valor de venta]]*Table2[[#This Row],[Cantidad vendida]]</f>
        <v>14000</v>
      </c>
      <c r="G13" s="20">
        <f>IF(Table2[[#This Row],[Valor pagado]]&lt;0, 0, Table2[[#This Row],[Valor total]]-Table2[[#This Row],[Valor pagado]])</f>
        <v>14000</v>
      </c>
    </row>
    <row r="14" spans="1:12">
      <c r="A14" s="17" t="s">
        <v>190</v>
      </c>
      <c r="B14" s="17" t="s">
        <v>191</v>
      </c>
      <c r="C14" s="18">
        <v>2</v>
      </c>
      <c r="D14" s="19">
        <v>1000</v>
      </c>
      <c r="E14" s="19">
        <v>500</v>
      </c>
      <c r="F14" s="19">
        <f>Table2[[#This Row],[Valor de venta]]*Table2[[#This Row],[Cantidad vendida]]</f>
        <v>1000</v>
      </c>
      <c r="G14" s="20">
        <f>IF(Table2[[#This Row],[Valor pagado]]&lt;0, 0, Table2[[#This Row],[Valor total]]-Table2[[#This Row],[Valor pagado]])</f>
        <v>0</v>
      </c>
    </row>
    <row r="15" spans="1:12">
      <c r="A15" s="17" t="s">
        <v>192</v>
      </c>
      <c r="C15" s="18">
        <v>12</v>
      </c>
      <c r="D15" s="19">
        <v>2400</v>
      </c>
      <c r="E15" s="19">
        <v>200</v>
      </c>
      <c r="F15" s="19">
        <f>Table2[[#This Row],[Valor de venta]]*Table2[[#This Row],[Cantidad vendida]]</f>
        <v>2400</v>
      </c>
      <c r="G15" s="20">
        <f>IF(Table2[[#This Row],[Valor pagado]]&lt;0, 0, Table2[[#This Row],[Valor total]]-Table2[[#This Row],[Valor pagado]])</f>
        <v>0</v>
      </c>
    </row>
    <row r="16" spans="1:12">
      <c r="A16" s="17" t="s">
        <v>189</v>
      </c>
      <c r="B16" s="17" t="s">
        <v>193</v>
      </c>
      <c r="C16" s="18">
        <v>1</v>
      </c>
      <c r="D16" s="19">
        <v>7000</v>
      </c>
      <c r="E16" s="19">
        <v>7000</v>
      </c>
      <c r="F16" s="19">
        <f>Table2[[#This Row],[Valor de venta]]*Table2[[#This Row],[Cantidad vendida]]</f>
        <v>7000</v>
      </c>
      <c r="G16" s="20">
        <f>IF(Table2[[#This Row],[Valor pagado]]&lt;0, 0, Table2[[#This Row],[Valor total]]-Table2[[#This Row],[Valor pagado]])</f>
        <v>0</v>
      </c>
    </row>
    <row r="17" spans="1:7">
      <c r="A17" s="17" t="s">
        <v>194</v>
      </c>
      <c r="B17" s="17" t="s">
        <v>195</v>
      </c>
      <c r="C17" s="18">
        <v>1</v>
      </c>
      <c r="D17" s="19">
        <v>40000</v>
      </c>
      <c r="E17" s="19">
        <v>40000</v>
      </c>
      <c r="F17" s="19">
        <f>Table2[[#This Row],[Valor de venta]]*Table2[[#This Row],[Cantidad vendida]]</f>
        <v>40000</v>
      </c>
      <c r="G17" s="20">
        <f>IF(Table2[[#This Row],[Valor pagado]]&lt;0, 0, Table2[[#This Row],[Valor total]]-Table2[[#This Row],[Valor pagado]])</f>
        <v>0</v>
      </c>
    </row>
    <row r="18" spans="1:7">
      <c r="A18" s="17" t="s">
        <v>185</v>
      </c>
      <c r="B18" s="17" t="s">
        <v>196</v>
      </c>
      <c r="C18" s="18">
        <v>1</v>
      </c>
      <c r="D18" s="19">
        <v>0</v>
      </c>
      <c r="E18" s="19">
        <v>25000</v>
      </c>
      <c r="F18" s="19">
        <f>Table2[[#This Row],[Valor de venta]]*Table2[[#This Row],[Cantidad vendida]]</f>
        <v>25000</v>
      </c>
      <c r="G18" s="20">
        <f>IF(Table2[[#This Row],[Valor pagado]]&lt;0, 0, Table2[[#This Row],[Valor total]]-Table2[[#This Row],[Valor pagado]])</f>
        <v>25000</v>
      </c>
    </row>
    <row r="19" spans="1:7">
      <c r="A19" s="17" t="s">
        <v>128</v>
      </c>
      <c r="B19" s="17" t="s">
        <v>197</v>
      </c>
      <c r="C19" s="18">
        <v>1</v>
      </c>
      <c r="D19" s="19">
        <v>18000</v>
      </c>
      <c r="E19" s="19">
        <v>18000</v>
      </c>
      <c r="F19" s="19">
        <f>Table2[[#This Row],[Valor de venta]]*Table2[[#This Row],[Cantidad vendida]]</f>
        <v>18000</v>
      </c>
      <c r="G19" s="20">
        <f>IF(Table2[[#This Row],[Valor pagado]]&lt;0, 0, Table2[[#This Row],[Valor total]]-Table2[[#This Row],[Valor pagado]])</f>
        <v>0</v>
      </c>
    </row>
    <row r="20" spans="1:7">
      <c r="A20" s="17" t="s">
        <v>138</v>
      </c>
      <c r="B20" s="17" t="s">
        <v>198</v>
      </c>
      <c r="C20" s="18">
        <v>1</v>
      </c>
      <c r="D20" s="19">
        <v>35000</v>
      </c>
      <c r="E20" s="19">
        <v>35000</v>
      </c>
      <c r="F20" s="19">
        <f>Table2[[#This Row],[Valor de venta]]*Table2[[#This Row],[Cantidad vendida]]</f>
        <v>35000</v>
      </c>
      <c r="G20" s="20">
        <f>IF(Table2[[#This Row],[Valor pagado]]&lt;0, 0, Table2[[#This Row],[Valor total]]-Table2[[#This Row],[Valor pagado]])</f>
        <v>0</v>
      </c>
    </row>
    <row r="21" spans="1:7">
      <c r="A21" s="17" t="s">
        <v>192</v>
      </c>
      <c r="B21" s="17" t="s">
        <v>199</v>
      </c>
      <c r="C21" s="18">
        <v>1</v>
      </c>
      <c r="D21" s="19">
        <v>200</v>
      </c>
      <c r="E21" s="19">
        <v>200</v>
      </c>
      <c r="F21" s="19">
        <f>Table2[[#This Row],[Valor de venta]]*Table2[[#This Row],[Cantidad vendida]]</f>
        <v>200</v>
      </c>
      <c r="G21" s="20">
        <f>IF(Table2[[#This Row],[Valor pagado]]&lt;0, 0, Table2[[#This Row],[Valor total]]-Table2[[#This Row],[Valor pagado]])</f>
        <v>0</v>
      </c>
    </row>
    <row r="22" spans="1:7">
      <c r="A22" s="17" t="s">
        <v>200</v>
      </c>
      <c r="B22" s="17" t="s">
        <v>197</v>
      </c>
      <c r="C22" s="18">
        <v>1</v>
      </c>
      <c r="D22" s="19">
        <v>30000</v>
      </c>
      <c r="E22" s="19">
        <v>30000</v>
      </c>
      <c r="F22" s="19">
        <f>Table2[[#This Row],[Valor de venta]]*Table2[[#This Row],[Cantidad vendida]]</f>
        <v>30000</v>
      </c>
      <c r="G22" s="20">
        <f>IF(Table2[[#This Row],[Valor pagado]]&lt;0, 0, Table2[[#This Row],[Valor total]]-Table2[[#This Row],[Valor pagado]])</f>
        <v>0</v>
      </c>
    </row>
    <row r="23" spans="1:7">
      <c r="A23" s="17" t="s">
        <v>201</v>
      </c>
      <c r="B23" s="17" t="s">
        <v>202</v>
      </c>
      <c r="C23" s="18">
        <v>1</v>
      </c>
      <c r="D23" s="19">
        <v>6000</v>
      </c>
      <c r="E23" s="19">
        <v>6000</v>
      </c>
      <c r="F23" s="19">
        <f>Table2[[#This Row],[Valor de venta]]*Table2[[#This Row],[Cantidad vendida]]</f>
        <v>6000</v>
      </c>
      <c r="G23" s="20">
        <f>IF(Table2[[#This Row],[Valor pagado]]&lt;0, 0, Table2[[#This Row],[Valor total]]-Table2[[#This Row],[Valor pagado]])</f>
        <v>0</v>
      </c>
    </row>
    <row r="24" spans="1:7">
      <c r="A24" s="17" t="s">
        <v>203</v>
      </c>
      <c r="B24" s="17" t="s">
        <v>204</v>
      </c>
      <c r="C24" s="18">
        <v>1</v>
      </c>
      <c r="D24" s="19">
        <v>4000</v>
      </c>
      <c r="E24" s="19">
        <v>4000</v>
      </c>
      <c r="F24" s="19">
        <f>Table2[[#This Row],[Valor de venta]]*Table2[[#This Row],[Cantidad vendida]]</f>
        <v>4000</v>
      </c>
      <c r="G24" s="20">
        <f>IF(Table2[[#This Row],[Valor pagado]]&lt;0, 0, Table2[[#This Row],[Valor total]]-Table2[[#This Row],[Valor pagado]])</f>
        <v>0</v>
      </c>
    </row>
    <row r="25" spans="1:7">
      <c r="A25" s="17" t="s">
        <v>205</v>
      </c>
      <c r="C25" s="18">
        <v>1</v>
      </c>
      <c r="D25" s="19">
        <v>6000</v>
      </c>
      <c r="E25" s="19">
        <v>6000</v>
      </c>
      <c r="F25" s="19">
        <f>Table2[[#This Row],[Valor de venta]]*Table2[[#This Row],[Cantidad vendida]]</f>
        <v>6000</v>
      </c>
      <c r="G25" s="20">
        <f>IF(Table2[[#This Row],[Valor pagado]]&lt;0, 0, Table2[[#This Row],[Valor total]]-Table2[[#This Row],[Valor pagado]])</f>
        <v>0</v>
      </c>
    </row>
    <row r="26" spans="1:7">
      <c r="A26" s="17" t="s">
        <v>190</v>
      </c>
      <c r="B26" s="17" t="s">
        <v>206</v>
      </c>
      <c r="C26" s="18">
        <v>4</v>
      </c>
      <c r="D26" s="19">
        <v>2000</v>
      </c>
      <c r="E26" s="19">
        <v>500</v>
      </c>
      <c r="F26" s="19">
        <f>Table2[[#This Row],[Valor de venta]]*Table2[[#This Row],[Cantidad vendida]]</f>
        <v>2000</v>
      </c>
      <c r="G26" s="20">
        <f>IF(Table2[[#This Row],[Valor pagado]]&lt;0, 0, Table2[[#This Row],[Valor total]]-Table2[[#This Row],[Valor pagado]])</f>
        <v>0</v>
      </c>
    </row>
    <row r="27" spans="1:7">
      <c r="A27" s="17" t="s">
        <v>139</v>
      </c>
      <c r="B27" s="17" t="s">
        <v>207</v>
      </c>
      <c r="C27" s="18">
        <v>1</v>
      </c>
      <c r="D27" s="19">
        <v>5000</v>
      </c>
      <c r="E27" s="19">
        <v>5000</v>
      </c>
      <c r="F27" s="19">
        <f>Table2[[#This Row],[Valor de venta]]*Table2[[#This Row],[Cantidad vendida]]</f>
        <v>5000</v>
      </c>
      <c r="G27" s="20">
        <f>IF(Table2[[#This Row],[Valor pagado]]&lt;0, 0, Table2[[#This Row],[Valor total]]-Table2[[#This Row],[Valor pagado]])</f>
        <v>0</v>
      </c>
    </row>
    <row r="28" spans="1:7">
      <c r="A28" s="17" t="s">
        <v>208</v>
      </c>
      <c r="B28" s="17" t="s">
        <v>209</v>
      </c>
      <c r="C28" s="18">
        <v>1</v>
      </c>
      <c r="D28" s="19">
        <v>10000</v>
      </c>
      <c r="E28" s="19">
        <v>10000</v>
      </c>
      <c r="F28" s="19">
        <f>Table2[[#This Row],[Valor de venta]]*Table2[[#This Row],[Cantidad vendida]]</f>
        <v>10000</v>
      </c>
      <c r="G28" s="20">
        <f>IF(Table2[[#This Row],[Valor pagado]]&lt;0, 0, Table2[[#This Row],[Valor total]]-Table2[[#This Row],[Valor pagado]])</f>
        <v>0</v>
      </c>
    </row>
    <row r="29" spans="1:7">
      <c r="A29" s="17" t="s">
        <v>210</v>
      </c>
      <c r="B29" s="17" t="s">
        <v>211</v>
      </c>
      <c r="C29" s="18">
        <v>1</v>
      </c>
      <c r="D29" s="19">
        <v>20000</v>
      </c>
      <c r="E29" s="19">
        <v>30000</v>
      </c>
      <c r="F29" s="19">
        <f>Table2[[#This Row],[Valor de venta]]*Table2[[#This Row],[Cantidad vendida]]</f>
        <v>30000</v>
      </c>
      <c r="G29" s="20">
        <f>IF(Table2[[#This Row],[Valor pagado]]&lt;0, 0, Table2[[#This Row],[Valor total]]-Table2[[#This Row],[Valor pagado]])</f>
        <v>10000</v>
      </c>
    </row>
    <row r="30" spans="1:7">
      <c r="A30" s="17" t="s">
        <v>208</v>
      </c>
      <c r="B30" s="17" t="s">
        <v>212</v>
      </c>
      <c r="C30" s="18">
        <v>1</v>
      </c>
      <c r="D30" s="19">
        <v>10000</v>
      </c>
      <c r="E30" s="19">
        <v>10000</v>
      </c>
      <c r="F30" s="19">
        <f>Table2[[#This Row],[Valor de venta]]*Table2[[#This Row],[Cantidad vendida]]</f>
        <v>10000</v>
      </c>
      <c r="G30" s="20">
        <f>IF(Table2[[#This Row],[Valor pagado]]&lt;0, 0, Table2[[#This Row],[Valor total]]-Table2[[#This Row],[Valor pagado]])</f>
        <v>0</v>
      </c>
    </row>
    <row r="31" spans="1:7">
      <c r="A31" s="17" t="s">
        <v>189</v>
      </c>
      <c r="B31" s="17" t="s">
        <v>197</v>
      </c>
      <c r="C31" s="18">
        <v>1</v>
      </c>
      <c r="D31" s="19">
        <v>7000</v>
      </c>
      <c r="E31" s="19">
        <v>7000</v>
      </c>
      <c r="F31" s="19">
        <f>Table2[[#This Row],[Valor de venta]]*Table2[[#This Row],[Cantidad vendida]]</f>
        <v>7000</v>
      </c>
      <c r="G31" s="20">
        <f>IF(Table2[[#This Row],[Valor pagado]]&lt;0, 0, Table2[[#This Row],[Valor total]]-Table2[[#This Row],[Valor pagado]])</f>
        <v>0</v>
      </c>
    </row>
    <row r="32" spans="1:7">
      <c r="A32" s="17" t="s">
        <v>139</v>
      </c>
      <c r="C32" s="18">
        <v>1</v>
      </c>
      <c r="D32" s="19">
        <v>5000</v>
      </c>
      <c r="E32" s="19">
        <v>5000</v>
      </c>
      <c r="F32" s="19">
        <f>Table2[[#This Row],[Valor de venta]]*Table2[[#This Row],[Cantidad vendida]]</f>
        <v>5000</v>
      </c>
      <c r="G32" s="20">
        <f>IF(Table2[[#This Row],[Valor pagado]]&lt;0, 0, Table2[[#This Row],[Valor total]]-Table2[[#This Row],[Valor pagado]])</f>
        <v>0</v>
      </c>
    </row>
    <row r="33" spans="1:7">
      <c r="A33" s="17" t="s">
        <v>185</v>
      </c>
      <c r="B33" s="17" t="s">
        <v>213</v>
      </c>
      <c r="C33" s="18">
        <v>1</v>
      </c>
      <c r="D33" s="19">
        <v>10000</v>
      </c>
      <c r="E33" s="19">
        <v>10000</v>
      </c>
      <c r="F33" s="19">
        <f>Table2[[#This Row],[Valor de venta]]*Table2[[#This Row],[Cantidad vendida]]</f>
        <v>10000</v>
      </c>
      <c r="G33" s="20">
        <f>IF(Table2[[#This Row],[Valor pagado]]&lt;0, 0, Table2[[#This Row],[Valor total]]-Table2[[#This Row],[Valor pagado]])</f>
        <v>0</v>
      </c>
    </row>
    <row r="34" spans="1:7">
      <c r="A34" s="23" t="s">
        <v>155</v>
      </c>
      <c r="B34" s="17" t="s">
        <v>214</v>
      </c>
      <c r="C34" s="18">
        <v>2</v>
      </c>
      <c r="D34" s="19">
        <v>90000</v>
      </c>
      <c r="E34" s="19">
        <v>45000</v>
      </c>
      <c r="F34" s="19">
        <f>Table2[[#This Row],[Valor de venta]]*Table2[[#This Row],[Cantidad vendida]]</f>
        <v>90000</v>
      </c>
      <c r="G34" s="20">
        <f>IF(Table2[[#This Row],[Valor pagado]]&lt;0, 0, Table2[[#This Row],[Valor total]]-Table2[[#This Row],[Valor pagado]])</f>
        <v>0</v>
      </c>
    </row>
    <row r="35" spans="1:7">
      <c r="A35" s="17" t="s">
        <v>141</v>
      </c>
      <c r="B35" s="17" t="s">
        <v>215</v>
      </c>
      <c r="C35" s="18">
        <v>1</v>
      </c>
      <c r="D35" s="19">
        <v>5000</v>
      </c>
      <c r="E35" s="19">
        <v>5000</v>
      </c>
      <c r="F35" s="19">
        <f>Table2[[#This Row],[Valor de venta]]*Table2[[#This Row],[Cantidad vendida]]</f>
        <v>5000</v>
      </c>
      <c r="G35" s="20">
        <f>IF(Table2[[#This Row],[Valor pagado]]&lt;0, 0, Table2[[#This Row],[Valor total]]-Table2[[#This Row],[Valor pagado]])</f>
        <v>0</v>
      </c>
    </row>
    <row r="36" spans="1:7">
      <c r="A36" s="17" t="s">
        <v>216</v>
      </c>
      <c r="B36" s="17" t="s">
        <v>215</v>
      </c>
      <c r="C36" s="18">
        <v>1</v>
      </c>
      <c r="D36" s="19">
        <v>5000</v>
      </c>
      <c r="E36" s="19">
        <v>5000</v>
      </c>
      <c r="F36" s="19">
        <f>Table2[[#This Row],[Valor de venta]]*Table2[[#This Row],[Cantidad vendida]]</f>
        <v>5000</v>
      </c>
      <c r="G36" s="20">
        <f>IF(Table2[[#This Row],[Valor pagado]]&lt;0, 0, Table2[[#This Row],[Valor total]]-Table2[[#This Row],[Valor pagado]])</f>
        <v>0</v>
      </c>
    </row>
    <row r="37" spans="1:7">
      <c r="A37" s="17" t="s">
        <v>187</v>
      </c>
      <c r="B37" s="17" t="s">
        <v>197</v>
      </c>
      <c r="C37" s="18">
        <v>1</v>
      </c>
      <c r="D37" s="19">
        <v>8000</v>
      </c>
      <c r="E37" s="19">
        <v>8000</v>
      </c>
      <c r="F37" s="19">
        <f>Table2[[#This Row],[Valor de venta]]*Table2[[#This Row],[Cantidad vendida]]</f>
        <v>8000</v>
      </c>
      <c r="G37" s="20">
        <f>IF(Table2[[#This Row],[Valor pagado]]&lt;0, 0, Table2[[#This Row],[Valor total]]-Table2[[#This Row],[Valor pagado]])</f>
        <v>0</v>
      </c>
    </row>
    <row r="38" spans="1:7">
      <c r="A38" t="s">
        <v>128</v>
      </c>
      <c r="B38" s="17" t="s">
        <v>217</v>
      </c>
      <c r="C38" s="18">
        <v>1</v>
      </c>
      <c r="D38" s="19">
        <v>15000</v>
      </c>
      <c r="E38" s="19">
        <v>15000</v>
      </c>
      <c r="F38" s="19">
        <f>Table2[[#This Row],[Valor de venta]]*Table2[[#This Row],[Cantidad vendida]]</f>
        <v>15000</v>
      </c>
      <c r="G38" s="20">
        <f>IF(Table2[[#This Row],[Valor pagado]]&lt;0, 0, Table2[[#This Row],[Valor total]]-Table2[[#This Row],[Valor pagado]])</f>
        <v>0</v>
      </c>
    </row>
    <row r="39" spans="1:7">
      <c r="A39" s="17" t="s">
        <v>152</v>
      </c>
      <c r="C39" s="18"/>
      <c r="D39" s="19">
        <v>-103100</v>
      </c>
      <c r="E39" s="19"/>
      <c r="F39" s="19">
        <f>Table2[[#This Row],[Valor de venta]]*Table2[[#This Row],[Cantidad vendida]]</f>
        <v>0</v>
      </c>
      <c r="G39" s="20">
        <f>IF(Table2[[#This Row],[Valor pagado]]&lt;0, 0, Table2[[#This Row],[Valor total]]-Table2[[#This Row],[Valor pagado]])</f>
        <v>0</v>
      </c>
    </row>
    <row r="40" spans="1:7">
      <c r="A40" s="17" t="s">
        <v>138</v>
      </c>
      <c r="B40" s="17" t="s">
        <v>197</v>
      </c>
      <c r="C40" s="18">
        <v>1</v>
      </c>
      <c r="D40" s="19">
        <v>30000</v>
      </c>
      <c r="E40" s="19">
        <v>30000</v>
      </c>
      <c r="F40" s="19">
        <f>Table2[[#This Row],[Valor de venta]]*Table2[[#This Row],[Cantidad vendida]]</f>
        <v>30000</v>
      </c>
      <c r="G40" s="20">
        <f>IF(Table2[[#This Row],[Valor pagado]]&lt;0, 0, Table2[[#This Row],[Valor total]]-Table2[[#This Row],[Valor pagado]])</f>
        <v>0</v>
      </c>
    </row>
    <row r="41" spans="1:7">
      <c r="A41" s="17" t="s">
        <v>187</v>
      </c>
      <c r="B41" s="17" t="s">
        <v>218</v>
      </c>
      <c r="C41" s="18">
        <v>1</v>
      </c>
      <c r="D41" s="19">
        <v>8000</v>
      </c>
      <c r="E41" s="19">
        <v>8000</v>
      </c>
      <c r="F41" s="19">
        <f>Table2[[#This Row],[Valor de venta]]*Table2[[#This Row],[Cantidad vendida]]</f>
        <v>8000</v>
      </c>
      <c r="G41" s="20">
        <f>IF(Table2[[#This Row],[Valor pagado]]&lt;0, 0, Table2[[#This Row],[Valor total]]-Table2[[#This Row],[Valor pagado]])</f>
        <v>0</v>
      </c>
    </row>
    <row r="42" spans="1:7">
      <c r="A42" s="17" t="s">
        <v>139</v>
      </c>
      <c r="B42" s="17" t="s">
        <v>218</v>
      </c>
      <c r="C42" s="18">
        <v>1</v>
      </c>
      <c r="D42" s="19">
        <v>5000</v>
      </c>
      <c r="E42" s="19">
        <v>5000</v>
      </c>
      <c r="F42" s="19">
        <f>Table2[[#This Row],[Valor de venta]]*Table2[[#This Row],[Cantidad vendida]]</f>
        <v>5000</v>
      </c>
      <c r="G42" s="20">
        <f>IF(Table2[[#This Row],[Valor pagado]]&lt;0, 0, Table2[[#This Row],[Valor total]]-Table2[[#This Row],[Valor pagado]])</f>
        <v>0</v>
      </c>
    </row>
    <row r="43" spans="1:7">
      <c r="A43" s="17" t="s">
        <v>194</v>
      </c>
      <c r="B43" s="17" t="s">
        <v>219</v>
      </c>
      <c r="C43" s="18">
        <v>1</v>
      </c>
      <c r="D43" s="19">
        <v>40000</v>
      </c>
      <c r="E43" s="19">
        <v>40000</v>
      </c>
      <c r="F43" s="19">
        <f>Table2[[#This Row],[Valor de venta]]*Table2[[#This Row],[Cantidad vendida]]</f>
        <v>40000</v>
      </c>
      <c r="G43" s="20">
        <f>IF(Table2[[#This Row],[Valor pagado]]&lt;0, 0, Table2[[#This Row],[Valor total]]-Table2[[#This Row],[Valor pagado]])</f>
        <v>0</v>
      </c>
    </row>
    <row r="44" spans="1:7">
      <c r="A44" s="17" t="s">
        <v>203</v>
      </c>
      <c r="B44" s="17" t="s">
        <v>220</v>
      </c>
      <c r="C44" s="18">
        <v>1</v>
      </c>
      <c r="D44" s="19">
        <v>0</v>
      </c>
      <c r="E44" s="19">
        <v>0</v>
      </c>
      <c r="F44" s="19">
        <f>Table2[[#This Row],[Valor de venta]]*Table2[[#This Row],[Cantidad vendida]]</f>
        <v>0</v>
      </c>
      <c r="G44" s="20">
        <f>IF(Table2[[#This Row],[Valor pagado]]&lt;0, 0, Table2[[#This Row],[Valor total]]-Table2[[#This Row],[Valor pagado]])</f>
        <v>0</v>
      </c>
    </row>
    <row r="45" spans="1:7">
      <c r="A45" s="17" t="s">
        <v>189</v>
      </c>
      <c r="B45" s="17" t="s">
        <v>221</v>
      </c>
      <c r="C45" s="18">
        <v>1</v>
      </c>
      <c r="D45" s="19">
        <v>7000</v>
      </c>
      <c r="E45" s="19">
        <v>7000</v>
      </c>
      <c r="F45" s="19">
        <f>Table2[[#This Row],[Valor de venta]]*Table2[[#This Row],[Cantidad vendida]]</f>
        <v>7000</v>
      </c>
      <c r="G45" s="20">
        <f>IF(Table2[[#This Row],[Valor pagado]]&lt;0, 0, Table2[[#This Row],[Valor total]]-Table2[[#This Row],[Valor pagado]])</f>
        <v>0</v>
      </c>
    </row>
    <row r="46" spans="1:7">
      <c r="A46" s="17" t="s">
        <v>200</v>
      </c>
      <c r="B46" s="17" t="s">
        <v>196</v>
      </c>
      <c r="C46" s="18">
        <v>1</v>
      </c>
      <c r="D46" s="19">
        <v>25000</v>
      </c>
      <c r="E46" s="19">
        <v>25000</v>
      </c>
      <c r="F46" s="19">
        <f>Table2[[#This Row],[Valor de venta]]*Table2[[#This Row],[Cantidad vendida]]</f>
        <v>25000</v>
      </c>
      <c r="G46" s="20">
        <f>IF(Table2[[#This Row],[Valor pagado]]&lt;0, 0, Table2[[#This Row],[Valor total]]-Table2[[#This Row],[Valor pagado]])</f>
        <v>0</v>
      </c>
    </row>
    <row r="47" spans="1:7">
      <c r="A47" s="17" t="s">
        <v>222</v>
      </c>
      <c r="B47" s="17" t="s">
        <v>223</v>
      </c>
      <c r="C47" s="18">
        <v>1</v>
      </c>
      <c r="D47" s="19">
        <v>8000</v>
      </c>
      <c r="E47" s="19">
        <v>8000</v>
      </c>
      <c r="F47" s="19">
        <f>Table2[[#This Row],[Valor de venta]]*Table2[[#This Row],[Cantidad vendida]]</f>
        <v>8000</v>
      </c>
      <c r="G47" s="20">
        <f>IF(Table2[[#This Row],[Valor pagado]]&lt;0, 0, Table2[[#This Row],[Valor total]]-Table2[[#This Row],[Valor pagado]])</f>
        <v>0</v>
      </c>
    </row>
    <row r="48" spans="1:7">
      <c r="A48" s="17" t="s">
        <v>145</v>
      </c>
      <c r="B48" s="17" t="s">
        <v>211</v>
      </c>
      <c r="C48" s="18">
        <v>1</v>
      </c>
      <c r="D48" s="19">
        <v>3000</v>
      </c>
      <c r="E48" s="19">
        <v>3000</v>
      </c>
      <c r="F48" s="19">
        <f>Table2[[#This Row],[Valor de venta]]*Table2[[#This Row],[Cantidad vendida]]</f>
        <v>3000</v>
      </c>
      <c r="G48" s="20">
        <f>IF(Table2[[#This Row],[Valor pagado]]&lt;0, 0, Table2[[#This Row],[Valor total]]-Table2[[#This Row],[Valor pagado]])</f>
        <v>0</v>
      </c>
    </row>
    <row r="49" spans="1:7">
      <c r="A49" s="17" t="s">
        <v>128</v>
      </c>
      <c r="B49" s="17" t="s">
        <v>209</v>
      </c>
      <c r="C49" s="18">
        <v>1</v>
      </c>
      <c r="D49" s="19">
        <v>0</v>
      </c>
      <c r="E49" s="19">
        <v>15000</v>
      </c>
      <c r="F49" s="19">
        <f>Table2[[#This Row],[Valor de venta]]*Table2[[#This Row],[Cantidad vendida]]</f>
        <v>15000</v>
      </c>
      <c r="G49" s="20">
        <f>IF(Table2[[#This Row],[Valor pagado]]&lt;0, 0, Table2[[#This Row],[Valor total]]-Table2[[#This Row],[Valor pagado]])</f>
        <v>15000</v>
      </c>
    </row>
    <row r="50" spans="1:7">
      <c r="A50" s="17" t="s">
        <v>128</v>
      </c>
      <c r="B50" s="17" t="s">
        <v>224</v>
      </c>
      <c r="C50" s="18">
        <v>1</v>
      </c>
      <c r="D50" s="19">
        <v>20000</v>
      </c>
      <c r="E50" s="19">
        <v>20000</v>
      </c>
      <c r="F50" s="19">
        <f>Table2[[#This Row],[Valor de venta]]*Table2[[#This Row],[Cantidad vendida]]</f>
        <v>20000</v>
      </c>
      <c r="G50" s="20">
        <f>IF(Table2[[#This Row],[Valor pagado]]&lt;0, 0, Table2[[#This Row],[Valor total]]-Table2[[#This Row],[Valor pagado]])</f>
        <v>0</v>
      </c>
    </row>
    <row r="51" spans="1:7">
      <c r="A51" s="17" t="s">
        <v>153</v>
      </c>
      <c r="C51" s="18"/>
      <c r="D51" s="19">
        <v>-94000</v>
      </c>
      <c r="E51" s="19"/>
      <c r="F51" s="19">
        <f>Table2[[#This Row],[Valor de venta]]*Table2[[#This Row],[Cantidad vendida]]</f>
        <v>0</v>
      </c>
      <c r="G51" s="20">
        <f>IF(Table2[[#This Row],[Valor pagado]]&lt;0, 0, Table2[[#This Row],[Valor total]]-Table2[[#This Row],[Valor pagado]])</f>
        <v>0</v>
      </c>
    </row>
    <row r="52" spans="1:7">
      <c r="A52" s="17" t="s">
        <v>185</v>
      </c>
      <c r="C52" s="18">
        <v>1</v>
      </c>
      <c r="D52" s="19">
        <v>25000</v>
      </c>
      <c r="E52" s="19">
        <v>25000</v>
      </c>
      <c r="F52" s="19">
        <f>Table2[[#This Row],[Valor de venta]]*Table2[[#This Row],[Cantidad vendida]]</f>
        <v>25000</v>
      </c>
      <c r="G52" s="20">
        <f>IF(Table2[[#This Row],[Valor pagado]]&lt;0, 0, Table2[[#This Row],[Valor total]]-Table2[[#This Row],[Valor pagado]])</f>
        <v>0</v>
      </c>
    </row>
    <row r="53" spans="1:7">
      <c r="A53" s="17" t="s">
        <v>187</v>
      </c>
      <c r="B53" s="17" t="s">
        <v>197</v>
      </c>
      <c r="C53" s="18">
        <v>1</v>
      </c>
      <c r="D53" s="19">
        <v>6000</v>
      </c>
      <c r="E53" s="19">
        <v>6000</v>
      </c>
      <c r="F53" s="19">
        <f>Table2[[#This Row],[Valor de venta]]*Table2[[#This Row],[Cantidad vendida]]</f>
        <v>6000</v>
      </c>
      <c r="G53" s="20">
        <f>IF(Table2[[#This Row],[Valor pagado]]&lt;0, 0, Table2[[#This Row],[Valor total]]-Table2[[#This Row],[Valor pagado]])</f>
        <v>0</v>
      </c>
    </row>
    <row r="54" spans="1:7">
      <c r="A54" s="17" t="s">
        <v>154</v>
      </c>
      <c r="C54" s="18"/>
      <c r="D54" s="19">
        <v>-158000</v>
      </c>
      <c r="E54" s="19"/>
      <c r="F54" s="19">
        <f>Table2[[#This Row],[Valor de venta]]*Table2[[#This Row],[Cantidad vendida]]</f>
        <v>0</v>
      </c>
      <c r="G54" s="20">
        <f>IF(Table2[[#This Row],[Valor pagado]]&lt;0, 0, Table2[[#This Row],[Valor total]]-Table2[[#This Row],[Valor pagado]])</f>
        <v>0</v>
      </c>
    </row>
    <row r="55" spans="1:7">
      <c r="A55" s="17" t="s">
        <v>100</v>
      </c>
      <c r="B55" s="17" t="s">
        <v>224</v>
      </c>
      <c r="C55" s="18">
        <v>1</v>
      </c>
      <c r="D55" s="19">
        <v>40000</v>
      </c>
      <c r="E55" s="19">
        <v>40000</v>
      </c>
      <c r="F55" s="19">
        <f>Table2[[#This Row],[Valor de venta]]*Table2[[#This Row],[Cantidad vendida]]</f>
        <v>40000</v>
      </c>
      <c r="G55" s="20">
        <f>IF(Table2[[#This Row],[Valor pagado]]&lt;0, 0, Table2[[#This Row],[Valor total]]-Table2[[#This Row],[Valor pagado]])</f>
        <v>0</v>
      </c>
    </row>
    <row r="56" spans="1:7">
      <c r="A56" s="17" t="s">
        <v>200</v>
      </c>
      <c r="B56" s="17" t="s">
        <v>225</v>
      </c>
      <c r="C56" s="18">
        <v>1</v>
      </c>
      <c r="D56" s="19">
        <v>30000</v>
      </c>
      <c r="E56" s="19">
        <v>30000</v>
      </c>
      <c r="F56" s="19">
        <f>Table2[[#This Row],[Valor de venta]]*Table2[[#This Row],[Cantidad vendida]]</f>
        <v>30000</v>
      </c>
      <c r="G56" s="20">
        <f>IF(Table2[[#This Row],[Valor pagado]]&lt;0, 0, Table2[[#This Row],[Valor total]]-Table2[[#This Row],[Valor pagado]])</f>
        <v>0</v>
      </c>
    </row>
    <row r="57" spans="1:7">
      <c r="A57" s="17" t="s">
        <v>187</v>
      </c>
      <c r="B57" s="17" t="s">
        <v>207</v>
      </c>
      <c r="C57" s="18">
        <v>1</v>
      </c>
      <c r="D57" s="19">
        <v>8000</v>
      </c>
      <c r="E57" s="19">
        <v>8000</v>
      </c>
      <c r="F57" s="19">
        <f>Table2[[#This Row],[Valor de venta]]*Table2[[#This Row],[Cantidad vendida]]</f>
        <v>8000</v>
      </c>
      <c r="G57" s="20">
        <f>IF(Table2[[#This Row],[Valor pagado]]&lt;0, 0, Table2[[#This Row],[Valor total]]-Table2[[#This Row],[Valor pagado]])</f>
        <v>0</v>
      </c>
    </row>
    <row r="58" spans="1:7">
      <c r="A58" s="17" t="s">
        <v>95</v>
      </c>
      <c r="B58" s="17" t="s">
        <v>28</v>
      </c>
      <c r="C58" s="18">
        <v>1</v>
      </c>
      <c r="D58" s="19">
        <v>25000</v>
      </c>
      <c r="E58" s="19">
        <v>25000</v>
      </c>
      <c r="F58" s="19">
        <f>Table2[[#This Row],[Valor de venta]]*Table2[[#This Row],[Cantidad vendida]]</f>
        <v>25000</v>
      </c>
      <c r="G58" s="20">
        <f>IF(Table2[[#This Row],[Valor pagado]]&lt;0, 0, Table2[[#This Row],[Valor total]]-Table2[[#This Row],[Valor pagado]])</f>
        <v>0</v>
      </c>
    </row>
    <row r="59" spans="1:7">
      <c r="A59" s="17" t="s">
        <v>128</v>
      </c>
      <c r="B59" s="17" t="s">
        <v>211</v>
      </c>
      <c r="C59" s="18">
        <v>1</v>
      </c>
      <c r="D59" s="19">
        <v>20000</v>
      </c>
      <c r="E59" s="19">
        <v>20000</v>
      </c>
      <c r="F59" s="19">
        <f>Table2[[#This Row],[Valor de venta]]*Table2[[#This Row],[Cantidad vendida]]</f>
        <v>20000</v>
      </c>
      <c r="G59" s="20">
        <f>IF(Table2[[#This Row],[Valor pagado]]&lt;0, 0, Table2[[#This Row],[Valor total]]-Table2[[#This Row],[Valor pagado]])</f>
        <v>0</v>
      </c>
    </row>
    <row r="60" spans="1:7">
      <c r="A60" s="17" t="s">
        <v>128</v>
      </c>
      <c r="B60" s="17" t="s">
        <v>209</v>
      </c>
      <c r="C60" s="18">
        <v>1</v>
      </c>
      <c r="D60" s="19">
        <v>0</v>
      </c>
      <c r="E60" s="19">
        <v>16000</v>
      </c>
      <c r="F60" s="19">
        <f>Table2[[#This Row],[Valor de venta]]*Table2[[#This Row],[Cantidad vendida]]</f>
        <v>16000</v>
      </c>
      <c r="G60" s="20">
        <f>IF(Table2[[#This Row],[Valor pagado]]&lt;0, 0, Table2[[#This Row],[Valor total]]-Table2[[#This Row],[Valor pagado]])</f>
        <v>16000</v>
      </c>
    </row>
    <row r="61" spans="1:7">
      <c r="A61" s="17" t="s">
        <v>201</v>
      </c>
      <c r="B61" s="17" t="s">
        <v>195</v>
      </c>
      <c r="C61" s="18">
        <v>1</v>
      </c>
      <c r="D61" s="19">
        <v>0</v>
      </c>
      <c r="E61" s="19">
        <v>6000</v>
      </c>
      <c r="F61" s="19">
        <f>Table2[[#This Row],[Valor de venta]]*Table2[[#This Row],[Cantidad vendida]]</f>
        <v>6000</v>
      </c>
      <c r="G61" s="20">
        <f>IF(Table2[[#This Row],[Valor pagado]]&lt;0, 0, Table2[[#This Row],[Valor total]]-Table2[[#This Row],[Valor pagado]])</f>
        <v>6000</v>
      </c>
    </row>
    <row r="62" spans="1:7">
      <c r="A62" s="17" t="s">
        <v>95</v>
      </c>
      <c r="B62" s="17" t="s">
        <v>191</v>
      </c>
      <c r="C62" s="18">
        <v>1</v>
      </c>
      <c r="D62" s="19">
        <v>25000</v>
      </c>
      <c r="E62" s="19">
        <v>25000</v>
      </c>
      <c r="F62" s="19">
        <f>Table2[[#This Row],[Valor de venta]]*Table2[[#This Row],[Cantidad vendida]]</f>
        <v>25000</v>
      </c>
      <c r="G62" s="20">
        <f>IF(Table2[[#This Row],[Valor pagado]]&lt;0, 0, Table2[[#This Row],[Valor total]]-Table2[[#This Row],[Valor pagado]])</f>
        <v>0</v>
      </c>
    </row>
    <row r="63" spans="1:7">
      <c r="A63" s="17" t="s">
        <v>190</v>
      </c>
      <c r="B63" s="17" t="s">
        <v>195</v>
      </c>
      <c r="C63" s="18">
        <v>4</v>
      </c>
      <c r="D63" s="19">
        <v>0</v>
      </c>
      <c r="E63" s="19">
        <v>500</v>
      </c>
      <c r="F63" s="19">
        <f>Table2[[#This Row],[Valor de venta]]*Table2[[#This Row],[Cantidad vendida]]</f>
        <v>2000</v>
      </c>
      <c r="G63" s="20">
        <f>IF(Table2[[#This Row],[Valor pagado]]&lt;0, 0, Table2[[#This Row],[Valor total]]-Table2[[#This Row],[Valor pagado]])</f>
        <v>2000</v>
      </c>
    </row>
    <row r="64" spans="1:7">
      <c r="A64" s="17" t="s">
        <v>128</v>
      </c>
      <c r="B64" s="17" t="s">
        <v>211</v>
      </c>
      <c r="C64" s="18">
        <v>1</v>
      </c>
      <c r="D64" s="19">
        <v>20000</v>
      </c>
      <c r="E64" s="19">
        <v>20000</v>
      </c>
      <c r="F64" s="19">
        <f>Table2[[#This Row],[Valor de venta]]*Table2[[#This Row],[Cantidad vendida]]</f>
        <v>20000</v>
      </c>
      <c r="G64" s="20">
        <f>IF(Table2[[#This Row],[Valor pagado]]&lt;0, 0, Table2[[#This Row],[Valor total]]-Table2[[#This Row],[Valor pagado]])</f>
        <v>0</v>
      </c>
    </row>
    <row r="65" spans="1:7">
      <c r="A65" s="17" t="s">
        <v>128</v>
      </c>
      <c r="B65" s="17" t="s">
        <v>226</v>
      </c>
      <c r="C65" s="18">
        <v>5</v>
      </c>
      <c r="D65" s="19">
        <v>-37500</v>
      </c>
      <c r="E65" s="19">
        <v>7500</v>
      </c>
      <c r="F65" s="19">
        <f>Table2[[#This Row],[Valor de venta]]*Table2[[#This Row],[Cantidad vendida]]</f>
        <v>37500</v>
      </c>
      <c r="G65" s="20">
        <f>IF(Table2[[#This Row],[Valor pagado]]&lt;0, 0, Table2[[#This Row],[Valor total]]-Table2[[#This Row],[Valor pagado]])</f>
        <v>0</v>
      </c>
    </row>
    <row r="66" spans="1:7">
      <c r="B66" s="17" t="s">
        <v>226</v>
      </c>
      <c r="C66" s="18">
        <v>1</v>
      </c>
      <c r="D66" s="19">
        <v>-150000</v>
      </c>
      <c r="E66" s="19"/>
      <c r="F66" s="19">
        <f>Table2[[#This Row],[Valor de venta]]*Table2[[#This Row],[Cantidad vendida]]</f>
        <v>0</v>
      </c>
      <c r="G66" s="20">
        <f>IF(Table2[[#This Row],[Valor pagado]]&lt;0, 0, Table2[[#This Row],[Valor total]]-Table2[[#This Row],[Valor pagado]])</f>
        <v>0</v>
      </c>
    </row>
    <row r="67" spans="1:7">
      <c r="C67" s="18"/>
      <c r="D67" s="19">
        <v>-20000</v>
      </c>
      <c r="E67" s="19"/>
      <c r="F67" s="19">
        <f>Table2[[#This Row],[Valor de venta]]*Table2[[#This Row],[Cantidad vendida]]</f>
        <v>0</v>
      </c>
      <c r="G67" s="20">
        <f>IF(Table2[[#This Row],[Valor pagado]]&lt;0, 0, Table2[[#This Row],[Valor total]]-Table2[[#This Row],[Valor pagado]])</f>
        <v>0</v>
      </c>
    </row>
    <row r="68" spans="1:7">
      <c r="A68" s="17" t="s">
        <v>227</v>
      </c>
      <c r="B68" s="17" t="s">
        <v>197</v>
      </c>
      <c r="C68" s="18">
        <v>1</v>
      </c>
      <c r="D68" s="19">
        <v>10000</v>
      </c>
      <c r="E68" s="19">
        <v>10000</v>
      </c>
      <c r="F68" s="19">
        <f>Table2[[#This Row],[Valor de venta]]*Table2[[#This Row],[Cantidad vendida]]</f>
        <v>10000</v>
      </c>
      <c r="G68" s="20">
        <f>IF(Table2[[#This Row],[Valor pagado]]&lt;0, 0, Table2[[#This Row],[Valor total]]-Table2[[#This Row],[Valor pagado]])</f>
        <v>0</v>
      </c>
    </row>
    <row r="69" spans="1:7">
      <c r="A69" s="17" t="s">
        <v>228</v>
      </c>
      <c r="B69" s="17" t="s">
        <v>224</v>
      </c>
      <c r="C69" s="18">
        <v>1</v>
      </c>
      <c r="D69" s="19">
        <v>25000</v>
      </c>
      <c r="E69" s="19">
        <v>25000</v>
      </c>
      <c r="F69" s="19">
        <f>Table2[[#This Row],[Valor de venta]]*Table2[[#This Row],[Cantidad vendida]]</f>
        <v>25000</v>
      </c>
      <c r="G69" s="20">
        <f>IF(Table2[[#This Row],[Valor pagado]]&lt;0, 0, Table2[[#This Row],[Valor total]]-Table2[[#This Row],[Valor pagado]])</f>
        <v>0</v>
      </c>
    </row>
    <row r="70" spans="1:7">
      <c r="A70" s="17" t="s">
        <v>128</v>
      </c>
      <c r="B70" s="17" t="s">
        <v>184</v>
      </c>
      <c r="C70" s="18">
        <v>1</v>
      </c>
      <c r="D70" s="19">
        <v>18000</v>
      </c>
      <c r="E70" s="19">
        <v>18000</v>
      </c>
      <c r="F70" s="19">
        <f>Table2[[#This Row],[Valor de venta]]*Table2[[#This Row],[Cantidad vendida]]</f>
        <v>18000</v>
      </c>
      <c r="G70" s="20">
        <f>IF(Table2[[#This Row],[Valor pagado]]&lt;0, 0, Table2[[#This Row],[Valor total]]-Table2[[#This Row],[Valor pagado]])</f>
        <v>0</v>
      </c>
    </row>
    <row r="71" spans="1:7">
      <c r="A71" s="17" t="s">
        <v>128</v>
      </c>
      <c r="B71" s="17" t="s">
        <v>225</v>
      </c>
      <c r="C71" s="18">
        <v>1</v>
      </c>
      <c r="D71" s="19">
        <v>20000</v>
      </c>
      <c r="E71" s="19">
        <v>20000</v>
      </c>
      <c r="F71" s="19">
        <f>Table2[[#This Row],[Valor de venta]]*Table2[[#This Row],[Cantidad vendida]]</f>
        <v>20000</v>
      </c>
      <c r="G71" s="20">
        <f>IF(Table2[[#This Row],[Valor pagado]]&lt;0, 0, Table2[[#This Row],[Valor total]]-Table2[[#This Row],[Valor pagado]])</f>
        <v>0</v>
      </c>
    </row>
    <row r="72" spans="1:7">
      <c r="A72" s="17" t="s">
        <v>141</v>
      </c>
      <c r="B72" s="17" t="s">
        <v>229</v>
      </c>
      <c r="C72" s="18">
        <v>1</v>
      </c>
      <c r="D72" s="19">
        <v>0</v>
      </c>
      <c r="E72" s="19">
        <v>6000</v>
      </c>
      <c r="F72" s="19">
        <f>Table2[[#This Row],[Valor de venta]]*Table2[[#This Row],[Cantidad vendida]]</f>
        <v>6000</v>
      </c>
      <c r="G72" s="20">
        <f>IF(Table2[[#This Row],[Valor pagado]]&lt;0, 0, Table2[[#This Row],[Valor total]]-Table2[[#This Row],[Valor pagado]])</f>
        <v>6000</v>
      </c>
    </row>
    <row r="73" spans="1:7">
      <c r="A73" s="17" t="s">
        <v>100</v>
      </c>
      <c r="B73" s="17" t="s">
        <v>230</v>
      </c>
      <c r="C73" s="18">
        <v>1</v>
      </c>
      <c r="D73" s="19">
        <v>0</v>
      </c>
      <c r="E73" s="19">
        <v>40000</v>
      </c>
      <c r="F73" s="19">
        <f>Table2[[#This Row],[Valor de venta]]*Table2[[#This Row],[Cantidad vendida]]</f>
        <v>40000</v>
      </c>
      <c r="G73" s="20">
        <f>IF(Table2[[#This Row],[Valor pagado]]&lt;0, 0, Table2[[#This Row],[Valor total]]-Table2[[#This Row],[Valor pagado]])</f>
        <v>40000</v>
      </c>
    </row>
    <row r="74" spans="1:7">
      <c r="A74" s="17" t="s">
        <v>128</v>
      </c>
      <c r="B74" s="17" t="s">
        <v>212</v>
      </c>
      <c r="C74" s="18">
        <v>1</v>
      </c>
      <c r="D74" s="19">
        <v>15000</v>
      </c>
      <c r="E74" s="19">
        <v>15000</v>
      </c>
      <c r="F74" s="19">
        <f>Table2[[#This Row],[Valor de venta]]*Table2[[#This Row],[Cantidad vendida]]</f>
        <v>15000</v>
      </c>
      <c r="G74" s="20">
        <f>IF(Table2[[#This Row],[Valor pagado]]&lt;0, 0, Table2[[#This Row],[Valor total]]-Table2[[#This Row],[Valor pagado]])</f>
        <v>0</v>
      </c>
    </row>
    <row r="75" spans="1:7">
      <c r="A75" s="17" t="s">
        <v>227</v>
      </c>
      <c r="B75" s="17" t="s">
        <v>231</v>
      </c>
      <c r="C75" s="18">
        <v>1</v>
      </c>
      <c r="D75" s="19">
        <v>10000</v>
      </c>
      <c r="E75" s="19">
        <v>10000</v>
      </c>
      <c r="F75" s="19">
        <f>Table2[[#This Row],[Valor de venta]]*Table2[[#This Row],[Cantidad vendida]]</f>
        <v>10000</v>
      </c>
      <c r="G75" s="20">
        <f>IF(Table2[[#This Row],[Valor pagado]]&lt;0, 0, Table2[[#This Row],[Valor total]]-Table2[[#This Row],[Valor pagado]])</f>
        <v>0</v>
      </c>
    </row>
    <row r="76" spans="1:7">
      <c r="A76" s="17" t="s">
        <v>208</v>
      </c>
      <c r="C76" s="18">
        <v>1</v>
      </c>
      <c r="D76" s="19">
        <v>10000</v>
      </c>
      <c r="E76" s="19">
        <v>10000</v>
      </c>
      <c r="F76" s="19">
        <f>Table2[[#This Row],[Valor de venta]]*Table2[[#This Row],[Cantidad vendida]]</f>
        <v>10000</v>
      </c>
      <c r="G76" s="20">
        <f>IF(Table2[[#This Row],[Valor pagado]]&lt;0, 0, Table2[[#This Row],[Valor total]]-Table2[[#This Row],[Valor pagado]])</f>
        <v>0</v>
      </c>
    </row>
    <row r="77" spans="1:7">
      <c r="B77" s="17" t="s">
        <v>226</v>
      </c>
      <c r="C77" s="18"/>
      <c r="D77" s="19">
        <v>-100500</v>
      </c>
      <c r="E77" s="19"/>
      <c r="F77" s="19">
        <f>Table2[[#This Row],[Valor de venta]]*Table2[[#This Row],[Cantidad vendida]]</f>
        <v>0</v>
      </c>
      <c r="G77" s="20">
        <f>IF(Table2[[#This Row],[Valor pagado]]&lt;0, 0, Table2[[#This Row],[Valor total]]-Table2[[#This Row],[Valor pagado]])</f>
        <v>0</v>
      </c>
    </row>
    <row r="78" spans="1:7">
      <c r="A78" s="17" t="s">
        <v>128</v>
      </c>
      <c r="B78" s="17" t="s">
        <v>48</v>
      </c>
      <c r="C78" s="18">
        <v>2</v>
      </c>
      <c r="D78" s="19">
        <v>32000</v>
      </c>
      <c r="E78" s="19">
        <v>16000</v>
      </c>
      <c r="F78" s="19">
        <f>Table2[[#This Row],[Valor de venta]]*Table2[[#This Row],[Cantidad vendida]]</f>
        <v>32000</v>
      </c>
      <c r="G78" s="20">
        <f>IF(Table2[[#This Row],[Valor pagado]]&lt;0, 0, Table2[[#This Row],[Valor total]]-Table2[[#This Row],[Valor pagado]])</f>
        <v>0</v>
      </c>
    </row>
    <row r="79" spans="1:7">
      <c r="A79" s="17" t="s">
        <v>228</v>
      </c>
      <c r="B79" s="17" t="s">
        <v>232</v>
      </c>
      <c r="C79" s="18">
        <v>1</v>
      </c>
      <c r="D79" s="19">
        <v>25000</v>
      </c>
      <c r="E79" s="19">
        <v>25000</v>
      </c>
      <c r="F79" s="19">
        <f>Table2[[#This Row],[Valor de venta]]*Table2[[#This Row],[Cantidad vendida]]</f>
        <v>25000</v>
      </c>
      <c r="G79" s="20">
        <f>IF(Table2[[#This Row],[Valor pagado]]&lt;0, 0, Table2[[#This Row],[Valor total]]-Table2[[#This Row],[Valor pagado]])</f>
        <v>0</v>
      </c>
    </row>
    <row r="80" spans="1:7">
      <c r="A80" s="17" t="s">
        <v>95</v>
      </c>
      <c r="B80" s="17" t="s">
        <v>217</v>
      </c>
      <c r="C80" s="18">
        <v>1</v>
      </c>
      <c r="D80" s="19">
        <v>0</v>
      </c>
      <c r="E80" s="19">
        <v>25000</v>
      </c>
      <c r="F80" s="19">
        <f>Table2[[#This Row],[Valor de venta]]*Table2[[#This Row],[Cantidad vendida]]</f>
        <v>25000</v>
      </c>
      <c r="G80" s="20">
        <f>IF(Table2[[#This Row],[Valor pagado]]&lt;0, 0, Table2[[#This Row],[Valor total]]-Table2[[#This Row],[Valor pagado]])</f>
        <v>25000</v>
      </c>
    </row>
    <row r="81" spans="1:7">
      <c r="A81" s="17" t="s">
        <v>95</v>
      </c>
      <c r="B81" s="17" t="s">
        <v>233</v>
      </c>
      <c r="C81" s="18">
        <v>1</v>
      </c>
      <c r="D81" s="19">
        <v>0</v>
      </c>
      <c r="E81" s="19">
        <v>25000</v>
      </c>
      <c r="F81" s="19">
        <f>Table2[[#This Row],[Valor de venta]]*Table2[[#This Row],[Cantidad vendida]]</f>
        <v>25000</v>
      </c>
      <c r="G81" s="20">
        <f>IF(Table2[[#This Row],[Valor pagado]]&lt;0, 0, Table2[[#This Row],[Valor total]]-Table2[[#This Row],[Valor pagado]])</f>
        <v>25000</v>
      </c>
    </row>
    <row r="82" spans="1:7">
      <c r="A82" s="17" t="s">
        <v>128</v>
      </c>
      <c r="B82" s="17" t="s">
        <v>196</v>
      </c>
      <c r="C82" s="18">
        <v>1</v>
      </c>
      <c r="D82" s="19">
        <v>16000</v>
      </c>
      <c r="E82" s="19">
        <v>16000</v>
      </c>
      <c r="F82" s="19">
        <f>Table2[[#This Row],[Valor de venta]]*Table2[[#This Row],[Cantidad vendida]]</f>
        <v>16000</v>
      </c>
      <c r="G82" s="20">
        <f>IF(Table2[[#This Row],[Valor pagado]]&lt;0, 0, Table2[[#This Row],[Valor total]]-Table2[[#This Row],[Valor pagado]])</f>
        <v>0</v>
      </c>
    </row>
    <row r="83" spans="1:7">
      <c r="A83" s="17" t="s">
        <v>60</v>
      </c>
      <c r="B83" s="17" t="s">
        <v>179</v>
      </c>
      <c r="C83" s="18">
        <v>1</v>
      </c>
      <c r="D83" s="19">
        <v>15000</v>
      </c>
      <c r="E83" s="19">
        <v>15000</v>
      </c>
      <c r="F83" s="19">
        <f>Table2[[#This Row],[Valor de venta]]*Table2[[#This Row],[Cantidad vendida]]</f>
        <v>15000</v>
      </c>
      <c r="G83" s="20">
        <f>IF(Table2[[#This Row],[Valor pagado]]&lt;0, 0, Table2[[#This Row],[Valor total]]-Table2[[#This Row],[Valor pagado]])</f>
        <v>0</v>
      </c>
    </row>
    <row r="84" spans="1:7">
      <c r="A84" s="17" t="s">
        <v>210</v>
      </c>
      <c r="B84" s="17" t="s">
        <v>233</v>
      </c>
      <c r="C84" s="18">
        <v>1</v>
      </c>
      <c r="D84" s="19">
        <v>0</v>
      </c>
      <c r="E84" s="19">
        <v>30000</v>
      </c>
      <c r="F84" s="19">
        <f>Table2[[#This Row],[Valor de venta]]*Table2[[#This Row],[Cantidad vendida]]</f>
        <v>30000</v>
      </c>
      <c r="G84" s="20">
        <f>IF(Table2[[#This Row],[Valor pagado]]&lt;0, 0, Table2[[#This Row],[Valor total]]-Table2[[#This Row],[Valor pagado]])</f>
        <v>30000</v>
      </c>
    </row>
    <row r="85" spans="1:7">
      <c r="A85" s="17" t="s">
        <v>187</v>
      </c>
      <c r="B85" s="17" t="s">
        <v>234</v>
      </c>
      <c r="C85" s="18">
        <v>2</v>
      </c>
      <c r="D85" s="19">
        <v>0</v>
      </c>
      <c r="E85" s="19">
        <v>8000</v>
      </c>
      <c r="F85" s="19">
        <f>Table2[[#This Row],[Valor de venta]]*Table2[[#This Row],[Cantidad vendida]]</f>
        <v>16000</v>
      </c>
      <c r="G85" s="20">
        <f>IF(Table2[[#This Row],[Valor pagado]]&lt;0, 0, Table2[[#This Row],[Valor total]]-Table2[[#This Row],[Valor pagado]])</f>
        <v>16000</v>
      </c>
    </row>
    <row r="86" spans="1:7">
      <c r="A86" s="17" t="s">
        <v>208</v>
      </c>
      <c r="B86" s="17" t="s">
        <v>235</v>
      </c>
      <c r="C86" s="18">
        <v>1</v>
      </c>
      <c r="D86" s="19">
        <v>0</v>
      </c>
      <c r="E86" s="19">
        <v>15000</v>
      </c>
      <c r="F86" s="19">
        <f>Table2[[#This Row],[Valor de venta]]*Table2[[#This Row],[Cantidad vendida]]</f>
        <v>15000</v>
      </c>
      <c r="G86" s="20">
        <f>IF(Table2[[#This Row],[Valor pagado]]&lt;0, 0, Table2[[#This Row],[Valor total]]-Table2[[#This Row],[Valor pagado]])</f>
        <v>15000</v>
      </c>
    </row>
    <row r="87" spans="1:7">
      <c r="A87" s="17" t="s">
        <v>201</v>
      </c>
      <c r="B87" s="17" t="s">
        <v>235</v>
      </c>
      <c r="C87" s="18">
        <v>1</v>
      </c>
      <c r="D87" s="19">
        <v>4000</v>
      </c>
      <c r="E87" s="19">
        <v>6000</v>
      </c>
      <c r="F87" s="19">
        <f>Table2[[#This Row],[Valor de venta]]*Table2[[#This Row],[Cantidad vendida]]</f>
        <v>6000</v>
      </c>
      <c r="G87" s="20">
        <f>IF(Table2[[#This Row],[Valor pagado]]&lt;0, 0, Table2[[#This Row],[Valor total]]-Table2[[#This Row],[Valor pagado]])</f>
        <v>2000</v>
      </c>
    </row>
    <row r="88" spans="1:7">
      <c r="A88" s="17" t="s">
        <v>128</v>
      </c>
      <c r="B88" s="17" t="s">
        <v>191</v>
      </c>
      <c r="C88" s="18">
        <v>1</v>
      </c>
      <c r="D88" s="19">
        <v>0</v>
      </c>
      <c r="E88" s="19">
        <v>20000</v>
      </c>
      <c r="F88" s="19">
        <f>Table2[[#This Row],[Valor de venta]]*Table2[[#This Row],[Cantidad vendida]]</f>
        <v>20000</v>
      </c>
      <c r="G88" s="20">
        <f>IF(Table2[[#This Row],[Valor pagado]]&lt;0, 0, Table2[[#This Row],[Valor total]]-Table2[[#This Row],[Valor pagado]])</f>
        <v>20000</v>
      </c>
    </row>
    <row r="89" spans="1:7">
      <c r="A89" s="17" t="s">
        <v>128</v>
      </c>
      <c r="B89" s="17" t="s">
        <v>225</v>
      </c>
      <c r="C89" s="18">
        <v>1</v>
      </c>
      <c r="D89" s="19">
        <v>16000</v>
      </c>
      <c r="E89" s="19">
        <v>16000</v>
      </c>
      <c r="F89" s="19">
        <f>Table2[[#This Row],[Valor de venta]]*Table2[[#This Row],[Cantidad vendida]]</f>
        <v>16000</v>
      </c>
      <c r="G89" s="20">
        <f>IF(Table2[[#This Row],[Valor pagado]]&lt;0, 0, Table2[[#This Row],[Valor total]]-Table2[[#This Row],[Valor pagado]])</f>
        <v>0</v>
      </c>
    </row>
    <row r="90" spans="1:7">
      <c r="A90" s="17" t="s">
        <v>128</v>
      </c>
      <c r="B90" s="17" t="s">
        <v>236</v>
      </c>
      <c r="C90" s="18">
        <v>1</v>
      </c>
      <c r="D90" s="19">
        <v>16000</v>
      </c>
      <c r="E90" s="19">
        <v>16000</v>
      </c>
      <c r="F90" s="19">
        <f>Table2[[#This Row],[Valor de venta]]*Table2[[#This Row],[Cantidad vendida]]</f>
        <v>16000</v>
      </c>
      <c r="G90" s="20">
        <f>IF(Table2[[#This Row],[Valor pagado]]&lt;0, 0, Table2[[#This Row],[Valor total]]-Table2[[#This Row],[Valor pagado]])</f>
        <v>0</v>
      </c>
    </row>
    <row r="91" spans="1:7">
      <c r="A91" s="17" t="s">
        <v>226</v>
      </c>
      <c r="C91" s="18">
        <v>7</v>
      </c>
      <c r="D91" s="19">
        <v>-55500</v>
      </c>
      <c r="E91" s="19">
        <v>7600</v>
      </c>
      <c r="F91" s="19">
        <f>Table2[[#This Row],[Valor de venta]]*Table2[[#This Row],[Cantidad vendida]]</f>
        <v>53200</v>
      </c>
      <c r="G91" s="20">
        <f>IF(Table2[[#This Row],[Valor pagado]]&lt;0, 0, Table2[[#This Row],[Valor total]]-Table2[[#This Row],[Valor pagado]])</f>
        <v>0</v>
      </c>
    </row>
    <row r="92" spans="1:7">
      <c r="A92" s="17" t="s">
        <v>226</v>
      </c>
      <c r="C92" s="18">
        <v>1</v>
      </c>
      <c r="D92" s="19">
        <v>-206500</v>
      </c>
      <c r="E92" s="19">
        <v>276500</v>
      </c>
      <c r="F92" s="19">
        <f>Table2[[#This Row],[Valor de venta]]*Table2[[#This Row],[Cantidad vendida]]</f>
        <v>276500</v>
      </c>
      <c r="G92" s="20">
        <f>IF(Table2[[#This Row],[Valor pagado]]&lt;0, 0, Table2[[#This Row],[Valor total]]-Table2[[#This Row],[Valor pagado]])</f>
        <v>0</v>
      </c>
    </row>
    <row r="93" spans="1:7">
      <c r="A93" s="17" t="s">
        <v>128</v>
      </c>
      <c r="B93" s="17" t="s">
        <v>211</v>
      </c>
      <c r="C93" s="18">
        <v>2</v>
      </c>
      <c r="D93" s="19">
        <v>32000</v>
      </c>
      <c r="E93" s="19">
        <v>16000</v>
      </c>
      <c r="F93" s="19">
        <f>Table2[[#This Row],[Valor de venta]]*Table2[[#This Row],[Cantidad vendida]]</f>
        <v>32000</v>
      </c>
      <c r="G93" s="20">
        <f>IF(Table2[[#This Row],[Valor pagado]]&lt;0, 0, Table2[[#This Row],[Valor total]]-Table2[[#This Row],[Valor pagado]])</f>
        <v>0</v>
      </c>
    </row>
    <row r="94" spans="1:7">
      <c r="A94" s="17" t="s">
        <v>185</v>
      </c>
      <c r="B94" s="17" t="s">
        <v>237</v>
      </c>
      <c r="C94" s="18">
        <v>1</v>
      </c>
      <c r="D94" s="19">
        <v>25000</v>
      </c>
      <c r="E94" s="19">
        <v>25000</v>
      </c>
      <c r="F94" s="19">
        <f>Table2[[#This Row],[Valor de venta]]*Table2[[#This Row],[Cantidad vendida]]</f>
        <v>25000</v>
      </c>
      <c r="G94" s="20">
        <f>IF(Table2[[#This Row],[Valor pagado]]&lt;0, 0, Table2[[#This Row],[Valor total]]-Table2[[#This Row],[Valor pagado]])</f>
        <v>0</v>
      </c>
    </row>
    <row r="95" spans="1:7">
      <c r="A95" s="17" t="s">
        <v>128</v>
      </c>
      <c r="B95" s="17" t="s">
        <v>238</v>
      </c>
      <c r="C95" s="18">
        <v>1</v>
      </c>
      <c r="D95" s="19">
        <v>16000</v>
      </c>
      <c r="E95" s="19">
        <v>16000</v>
      </c>
      <c r="F95" s="19">
        <f>Table2[[#This Row],[Valor de venta]]*Table2[[#This Row],[Cantidad vendida]]</f>
        <v>16000</v>
      </c>
      <c r="G95" s="20">
        <f>IF(Table2[[#This Row],[Valor pagado]]&lt;0, 0, Table2[[#This Row],[Valor total]]-Table2[[#This Row],[Valor pagado]])</f>
        <v>0</v>
      </c>
    </row>
    <row r="96" spans="1:7">
      <c r="A96" s="17" t="s">
        <v>239</v>
      </c>
      <c r="B96" s="17" t="s">
        <v>48</v>
      </c>
      <c r="C96" s="18">
        <v>1</v>
      </c>
      <c r="D96" s="19">
        <v>40000</v>
      </c>
      <c r="E96" s="19">
        <v>40000</v>
      </c>
      <c r="F96" s="19">
        <f>Table2[[#This Row],[Valor de venta]]*Table2[[#This Row],[Cantidad vendida]]</f>
        <v>40000</v>
      </c>
      <c r="G96" s="20">
        <f>IF(Table2[[#This Row],[Valor pagado]]&lt;0, 0, Table2[[#This Row],[Valor total]]-Table2[[#This Row],[Valor pagado]])</f>
        <v>0</v>
      </c>
    </row>
    <row r="97" spans="1:7">
      <c r="A97" s="17" t="s">
        <v>139</v>
      </c>
      <c r="B97" s="17" t="s">
        <v>229</v>
      </c>
      <c r="C97" s="18">
        <v>1</v>
      </c>
      <c r="D97" s="19">
        <v>4000</v>
      </c>
      <c r="E97" s="19">
        <v>4000</v>
      </c>
      <c r="F97" s="19">
        <f>Table2[[#This Row],[Valor de venta]]*Table2[[#This Row],[Cantidad vendida]]</f>
        <v>4000</v>
      </c>
      <c r="G97" s="20">
        <f>IF(Table2[[#This Row],[Valor pagado]]&lt;0, 0, Table2[[#This Row],[Valor total]]-Table2[[#This Row],[Valor pagado]])</f>
        <v>0</v>
      </c>
    </row>
    <row r="98" spans="1:7">
      <c r="A98" s="17" t="s">
        <v>240</v>
      </c>
      <c r="B98" s="17" t="s">
        <v>193</v>
      </c>
      <c r="C98" s="18">
        <v>1</v>
      </c>
      <c r="D98" s="19"/>
      <c r="E98" s="19">
        <v>25000</v>
      </c>
      <c r="F98" s="19">
        <f>Table2[[#This Row],[Valor de venta]]*Table2[[#This Row],[Cantidad vendida]]</f>
        <v>25000</v>
      </c>
      <c r="G98" s="20">
        <f>IF(Table2[[#This Row],[Valor pagado]]&lt;0, 0, Table2[[#This Row],[Valor total]]-Table2[[#This Row],[Valor pagado]])</f>
        <v>25000</v>
      </c>
    </row>
    <row r="99" spans="1:7">
      <c r="A99" s="17" t="s">
        <v>226</v>
      </c>
      <c r="C99" s="18">
        <v>1</v>
      </c>
      <c r="D99" s="19">
        <v>-201000</v>
      </c>
      <c r="E99" s="19"/>
      <c r="F99" s="19">
        <f>Table2[[#This Row],[Valor de venta]]*Table2[[#This Row],[Cantidad vendida]]</f>
        <v>0</v>
      </c>
      <c r="G99" s="20">
        <f>IF(Table2[[#This Row],[Valor pagado]]&lt;0, 0, Table2[[#This Row],[Valor total]]-Table2[[#This Row],[Valor pagado]])</f>
        <v>0</v>
      </c>
    </row>
    <row r="100" spans="1:7">
      <c r="A100" s="17" t="s">
        <v>239</v>
      </c>
      <c r="B100" s="17" t="s">
        <v>184</v>
      </c>
      <c r="C100" s="18">
        <v>3</v>
      </c>
      <c r="D100" s="19">
        <v>50000</v>
      </c>
      <c r="E100" s="19">
        <v>30000</v>
      </c>
      <c r="F100" s="19">
        <f>Table2[[#This Row],[Valor de venta]]*Table2[[#This Row],[Cantidad vendida]]</f>
        <v>90000</v>
      </c>
      <c r="G100" s="20">
        <f>IF(Table2[[#This Row],[Valor pagado]]&lt;0, 0, Table2[[#This Row],[Valor total]]-Table2[[#This Row],[Valor pagado]])</f>
        <v>40000</v>
      </c>
    </row>
    <row r="101" spans="1:7">
      <c r="A101" s="17" t="s">
        <v>239</v>
      </c>
      <c r="B101" s="17" t="s">
        <v>211</v>
      </c>
      <c r="C101" s="18">
        <v>3</v>
      </c>
      <c r="D101" s="19">
        <v>0</v>
      </c>
      <c r="E101" s="19">
        <v>30000</v>
      </c>
      <c r="F101" s="19">
        <f>Table2[[#This Row],[Valor de venta]]*Table2[[#This Row],[Cantidad vendida]]</f>
        <v>90000</v>
      </c>
      <c r="G101" s="20">
        <f>IF(Table2[[#This Row],[Valor pagado]]&lt;0, 0, Table2[[#This Row],[Valor total]]-Table2[[#This Row],[Valor pagado]])</f>
        <v>90000</v>
      </c>
    </row>
    <row r="102" spans="1:7">
      <c r="A102" s="17" t="s">
        <v>239</v>
      </c>
      <c r="B102" s="17" t="s">
        <v>186</v>
      </c>
      <c r="C102" s="18">
        <v>1</v>
      </c>
      <c r="D102" s="19">
        <v>0</v>
      </c>
      <c r="E102" s="19">
        <v>40000</v>
      </c>
      <c r="F102" s="19">
        <f>Table2[[#This Row],[Valor de venta]]*Table2[[#This Row],[Cantidad vendida]]</f>
        <v>40000</v>
      </c>
      <c r="G102" s="20">
        <f>IF(Table2[[#This Row],[Valor pagado]]&lt;0, 0, Table2[[#This Row],[Valor total]]-Table2[[#This Row],[Valor pagado]])</f>
        <v>40000</v>
      </c>
    </row>
    <row r="103" spans="1:7">
      <c r="A103" s="17" t="s">
        <v>239</v>
      </c>
      <c r="B103" s="17" t="s">
        <v>241</v>
      </c>
      <c r="C103" s="18">
        <v>1</v>
      </c>
      <c r="D103" s="19">
        <v>0</v>
      </c>
      <c r="E103" s="19">
        <v>40000</v>
      </c>
      <c r="F103" s="19">
        <f>Table2[[#This Row],[Valor de venta]]*Table2[[#This Row],[Cantidad vendida]]</f>
        <v>40000</v>
      </c>
      <c r="G103" s="20">
        <f>IF(Table2[[#This Row],[Valor pagado]]&lt;0, 0, Table2[[#This Row],[Valor total]]-Table2[[#This Row],[Valor pagado]])</f>
        <v>40000</v>
      </c>
    </row>
    <row r="230" ht="15.75" customHeight="1"/>
    <row r="232" ht="15.75" customHeight="1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A64D-253E-423A-88C2-6253E65363A5}">
  <dimension ref="B1:DG27"/>
  <sheetViews>
    <sheetView workbookViewId="0">
      <selection activeCell="A24" sqref="A24"/>
    </sheetView>
  </sheetViews>
  <sheetFormatPr defaultRowHeight="15"/>
  <cols>
    <col min="1" max="1" width="17.42578125" bestFit="1" customWidth="1"/>
    <col min="2" max="2" width="10.5703125" style="4" bestFit="1" customWidth="1"/>
    <col min="3" max="3" width="17.42578125" bestFit="1" customWidth="1"/>
    <col min="4" max="4" width="14.85546875" customWidth="1"/>
  </cols>
  <sheetData>
    <row r="1" spans="3:4">
      <c r="C1" s="13" t="s">
        <v>169</v>
      </c>
      <c r="D1" s="14" t="s">
        <v>2</v>
      </c>
    </row>
    <row r="2" spans="3:4">
      <c r="C2" s="15" t="s">
        <v>11</v>
      </c>
      <c r="D2" s="16">
        <v>210000</v>
      </c>
    </row>
    <row r="3" spans="3:4">
      <c r="C3" s="9" t="s">
        <v>23</v>
      </c>
      <c r="D3" s="10">
        <v>5000</v>
      </c>
    </row>
    <row r="4" spans="3:4">
      <c r="C4" s="9" t="s">
        <v>22</v>
      </c>
      <c r="D4" s="10">
        <v>15000</v>
      </c>
    </row>
    <row r="5" spans="3:4">
      <c r="C5" s="9" t="s">
        <v>26</v>
      </c>
      <c r="D5" s="10">
        <v>35000</v>
      </c>
    </row>
    <row r="6" spans="3:4">
      <c r="C6" s="9" t="s">
        <v>28</v>
      </c>
      <c r="D6" s="10">
        <v>40000</v>
      </c>
    </row>
    <row r="7" spans="3:4">
      <c r="C7" s="9" t="s">
        <v>55</v>
      </c>
      <c r="D7" s="10">
        <v>25000</v>
      </c>
    </row>
    <row r="8" spans="3:4">
      <c r="C8" s="9" t="s">
        <v>45</v>
      </c>
      <c r="D8" s="10">
        <v>20000</v>
      </c>
    </row>
    <row r="9" spans="3:4">
      <c r="C9" s="9" t="s">
        <v>31</v>
      </c>
      <c r="D9" s="10">
        <v>26000</v>
      </c>
    </row>
    <row r="10" spans="3:4">
      <c r="C10" s="9" t="s">
        <v>32</v>
      </c>
      <c r="D10" s="10">
        <v>15000</v>
      </c>
    </row>
    <row r="11" spans="3:4">
      <c r="C11" s="9" t="s">
        <v>27</v>
      </c>
      <c r="D11" s="10">
        <v>45000</v>
      </c>
    </row>
    <row r="12" spans="3:4">
      <c r="C12" s="9" t="s">
        <v>35</v>
      </c>
      <c r="D12" s="10">
        <v>15000</v>
      </c>
    </row>
    <row r="13" spans="3:4">
      <c r="C13" s="9" t="s">
        <v>10</v>
      </c>
      <c r="D13" s="10">
        <v>65000</v>
      </c>
    </row>
    <row r="14" spans="3:4">
      <c r="C14" s="9" t="s">
        <v>33</v>
      </c>
      <c r="D14" s="10">
        <v>85000</v>
      </c>
    </row>
    <row r="15" spans="3:4">
      <c r="C15" s="9" t="s">
        <v>5</v>
      </c>
      <c r="D15" s="10">
        <v>15000</v>
      </c>
    </row>
    <row r="16" spans="3:4">
      <c r="C16" s="9" t="s">
        <v>37</v>
      </c>
      <c r="D16" s="10">
        <v>105000</v>
      </c>
    </row>
    <row r="17" spans="3:111">
      <c r="C17" s="9" t="s">
        <v>51</v>
      </c>
      <c r="D17" s="10">
        <v>20000</v>
      </c>
    </row>
    <row r="18" spans="3:111">
      <c r="C18" s="9" t="s">
        <v>38</v>
      </c>
      <c r="D18" s="10">
        <v>115000</v>
      </c>
    </row>
    <row r="19" spans="3:111">
      <c r="C19" s="9" t="s">
        <v>48</v>
      </c>
      <c r="D19" s="10">
        <v>65000</v>
      </c>
    </row>
    <row r="20" spans="3:111">
      <c r="C20" s="9" t="s">
        <v>9</v>
      </c>
      <c r="D20" s="10">
        <v>98000</v>
      </c>
    </row>
    <row r="21" spans="3:111">
      <c r="C21" s="9" t="s">
        <v>41</v>
      </c>
      <c r="D21" s="10">
        <v>45000</v>
      </c>
    </row>
    <row r="22" spans="3:111">
      <c r="C22" s="9" t="s">
        <v>42</v>
      </c>
      <c r="D22" s="10">
        <v>16000</v>
      </c>
    </row>
    <row r="23" spans="3:111">
      <c r="C23" s="9" t="s">
        <v>19</v>
      </c>
      <c r="D23" s="10">
        <v>50000</v>
      </c>
    </row>
    <row r="24" spans="3:111">
      <c r="C24" s="9" t="s">
        <v>50</v>
      </c>
      <c r="D24" s="10">
        <v>20000</v>
      </c>
    </row>
    <row r="25" spans="3:111">
      <c r="C25" s="9" t="s">
        <v>49</v>
      </c>
      <c r="D25" s="10">
        <v>20000</v>
      </c>
    </row>
    <row r="26" spans="3:111">
      <c r="C26" s="11" t="s">
        <v>17</v>
      </c>
      <c r="D26" s="12">
        <v>25000</v>
      </c>
      <c r="DG26" t="s">
        <v>242</v>
      </c>
    </row>
    <row r="27" spans="3:111">
      <c r="D27" s="4">
        <f>SUM(D2:D26)</f>
        <v>1195000</v>
      </c>
    </row>
  </sheetData>
  <sortState xmlns:xlrd2="http://schemas.microsoft.com/office/spreadsheetml/2017/richdata2" ref="C2:D26">
    <sortCondition sortBy="cellColor" ref="D2:D26" dxfId="0"/>
  </sortState>
  <conditionalFormatting sqref="D2:D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Jhon Anderson Triana Gutierrez</cp:lastModifiedBy>
  <cp:revision/>
  <dcterms:created xsi:type="dcterms:W3CDTF">2024-10-29T21:43:15Z</dcterms:created>
  <dcterms:modified xsi:type="dcterms:W3CDTF">2025-12-18T15:25:19Z</dcterms:modified>
  <cp:category/>
  <cp:contentStatus/>
</cp:coreProperties>
</file>